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20" yWindow="90" windowWidth="28515" windowHeight="12330"/>
  </bookViews>
  <sheets>
    <sheet name="CrossoutItemstest" sheetId="1" r:id="rId1"/>
    <sheet name="Resources" sheetId="10" r:id="rId2"/>
    <sheet name="CrossoutDBItems" sheetId="9" r:id="rId3"/>
  </sheets>
  <functionGroups builtInGroupCount="17"/>
  <definedNames>
    <definedName name="_xlnm._FilterDatabase" localSheetId="2" hidden="1">CrossoutDBItems!$A$1:$AT$495</definedName>
  </definedNames>
  <calcPr calcId="145621"/>
</workbook>
</file>

<file path=xl/calcChain.xml><?xml version="1.0" encoding="utf-8"?>
<calcChain xmlns="http://schemas.openxmlformats.org/spreadsheetml/2006/main">
  <c r="AA4" i="10" l="1"/>
  <c r="Z4" i="10"/>
  <c r="Y4" i="10"/>
  <c r="X4" i="10"/>
  <c r="W4" i="10"/>
  <c r="V4" i="10"/>
  <c r="U4" i="10"/>
  <c r="T4" i="10"/>
  <c r="S4" i="10"/>
  <c r="R4" i="10"/>
  <c r="Q4" i="10"/>
  <c r="P4" i="10"/>
  <c r="O4" i="10"/>
  <c r="N4" i="10"/>
  <c r="M4" i="10"/>
  <c r="L4" i="10"/>
  <c r="K4" i="10"/>
  <c r="J4" i="10"/>
  <c r="I4" i="10"/>
  <c r="H4" i="10"/>
  <c r="G4" i="10"/>
  <c r="F4" i="10"/>
  <c r="E4" i="10"/>
  <c r="D4" i="10"/>
  <c r="C4" i="10"/>
  <c r="AA3" i="10"/>
  <c r="Z3" i="10"/>
  <c r="Y3" i="10"/>
  <c r="X3" i="10"/>
  <c r="W3" i="10"/>
  <c r="V3" i="10"/>
  <c r="U3" i="10"/>
  <c r="T3" i="10"/>
  <c r="S3" i="10"/>
  <c r="R3" i="10"/>
  <c r="Q3" i="10"/>
  <c r="P3" i="10"/>
  <c r="O3" i="10"/>
  <c r="N3" i="10"/>
  <c r="M3" i="10"/>
  <c r="L3" i="10"/>
  <c r="K3" i="10"/>
  <c r="J3" i="10"/>
  <c r="I3" i="10"/>
  <c r="H3" i="10"/>
  <c r="G3" i="10"/>
  <c r="F3" i="10"/>
  <c r="E3" i="10"/>
  <c r="D3" i="10"/>
  <c r="C3" i="10"/>
  <c r="AA2" i="10"/>
  <c r="Z2" i="10"/>
  <c r="Y2" i="10"/>
  <c r="X2" i="10"/>
  <c r="W2" i="10"/>
  <c r="V2" i="10"/>
  <c r="U2" i="10"/>
  <c r="T2" i="10"/>
  <c r="S2" i="10"/>
  <c r="R2" i="10"/>
  <c r="Q2" i="10"/>
  <c r="P2" i="10"/>
  <c r="O2" i="10"/>
  <c r="N2" i="10"/>
  <c r="M2" i="10"/>
  <c r="L2" i="10"/>
  <c r="K2" i="10"/>
  <c r="J2" i="10"/>
  <c r="I2" i="10"/>
  <c r="H2" i="10"/>
  <c r="G2" i="10"/>
  <c r="F2" i="10"/>
  <c r="E2" i="10"/>
  <c r="D2" i="10"/>
  <c r="C2" i="10"/>
  <c r="B4" i="10"/>
  <c r="B3" i="10"/>
  <c r="B2" i="10"/>
</calcChain>
</file>

<file path=xl/sharedStrings.xml><?xml version="1.0" encoding="utf-8"?>
<sst xmlns="http://schemas.openxmlformats.org/spreadsheetml/2006/main" count="4692" uniqueCount="1307">
  <si>
    <t>id</t>
  </si>
  <si>
    <t>name</t>
  </si>
  <si>
    <t>description</t>
  </si>
  <si>
    <t>sellOffers</t>
  </si>
  <si>
    <t>sellPrice</t>
  </si>
  <si>
    <t>buyOrders</t>
  </si>
  <si>
    <t>buyPrice</t>
  </si>
  <si>
    <t>removed</t>
  </si>
  <si>
    <t>popularity</t>
  </si>
  <si>
    <t>workbenchRarity</t>
  </si>
  <si>
    <t>craftingSellSum</t>
  </si>
  <si>
    <t>craftingBuySum</t>
  </si>
  <si>
    <t>amount</t>
  </si>
  <si>
    <t>margin</t>
  </si>
  <si>
    <t>craftingMargin</t>
  </si>
  <si>
    <t>formatMargin</t>
  </si>
  <si>
    <t>formatCraftingMargin</t>
  </si>
  <si>
    <t>craftVsBuy</t>
  </si>
  <si>
    <t>timestamp</t>
  </si>
  <si>
    <t>lastUpdateTime</t>
  </si>
  <si>
    <t>rarityId</t>
  </si>
  <si>
    <t>rarityName</t>
  </si>
  <si>
    <t>categoryId</t>
  </si>
  <si>
    <t>categoryName</t>
  </si>
  <si>
    <t>typeId</t>
  </si>
  <si>
    <t>recipeId</t>
  </si>
  <si>
    <t>typeName</t>
  </si>
  <si>
    <t>factionNumber</t>
  </si>
  <si>
    <t>faction</t>
  </si>
  <si>
    <t>formatBuyPrice</t>
  </si>
  <si>
    <t>formatSellPrice</t>
  </si>
  <si>
    <t>formatCraftingSellSum</t>
  </si>
  <si>
    <t>formatCraftingBuySum</t>
  </si>
  <si>
    <t>image</t>
  </si>
  <si>
    <t>sortedStats</t>
  </si>
  <si>
    <t>Thunderbolt</t>
  </si>
  <si>
    <t>Deadly at close range.</t>
  </si>
  <si>
    <t>Craft</t>
  </si>
  <si>
    <t>Epic</t>
  </si>
  <si>
    <t>Weapons</t>
  </si>
  <si>
    <t>Shotgun</t>
  </si>
  <si>
    <t>Lunatics</t>
  </si>
  <si>
    <t>1.png</t>
  </si>
  <si>
    <t>null</t>
  </si>
  <si>
    <t>Common</t>
  </si>
  <si>
    <t>Customization</t>
  </si>
  <si>
    <t>Sticker</t>
  </si>
  <si>
    <t>Rare</t>
  </si>
  <si>
    <t>Paint and patterns.&lt;br&gt;Can colour most parts.</t>
  </si>
  <si>
    <t>Dyes</t>
  </si>
  <si>
    <t>Paint</t>
  </si>
  <si>
    <t>Sledgehammer</t>
  </si>
  <si>
    <t>Powerful shotgun.</t>
  </si>
  <si>
    <t>2.png</t>
  </si>
  <si>
    <t>Hammerfall</t>
  </si>
  <si>
    <t>Legendary</t>
  </si>
  <si>
    <t>3.png</t>
  </si>
  <si>
    <t>Spitfire</t>
  </si>
  <si>
    <t>Deadly at close range. Limited firing angle.</t>
  </si>
  <si>
    <t>Buy</t>
  </si>
  <si>
    <t>Engineers</t>
  </si>
  <si>
    <t>4.png</t>
  </si>
  <si>
    <t>Lupara</t>
  </si>
  <si>
    <t>5.png</t>
  </si>
  <si>
    <t>Pyre</t>
  </si>
  <si>
    <t>Powerful infrared-homing missile.</t>
  </si>
  <si>
    <t>Homing missile</t>
  </si>
  <si>
    <t>Scavanger</t>
  </si>
  <si>
    <t>6.png</t>
  </si>
  <si>
    <t>MM5-4 Vector</t>
  </si>
  <si>
    <t>A machine gun that improves on the junior model in every way.</t>
  </si>
  <si>
    <t>Machine gun</t>
  </si>
  <si>
    <t>Nomads</t>
  </si>
  <si>
    <t>7.png</t>
  </si>
  <si>
    <t>ZS-34 Fat Man</t>
  </si>
  <si>
    <t>Turret cannon. Allows for precise shots at any range in any direction.</t>
  </si>
  <si>
    <t>Turret cannon</t>
  </si>
  <si>
    <t>8.png</t>
  </si>
  <si>
    <t>GL-55 Impulse</t>
  </si>
  <si>
    <t>Automatic grenade launcher. Difficult to use, but has great destructive power.</t>
  </si>
  <si>
    <t>Grenade launcher</t>
  </si>
  <si>
    <t>30.png</t>
  </si>
  <si>
    <t>MG13 Equalizer</t>
  </si>
  <si>
    <t>Maximum rate of fire and overheating threshold.&lt;br&gt;Needs time to spin up barrels.</t>
  </si>
  <si>
    <t>Minigun</t>
  </si>
  <si>
    <t>31.png</t>
  </si>
  <si>
    <t>AC72 Whirlwind</t>
  </si>
  <si>
    <t>Great accuracy, but requires experience in aiming at long ranges.</t>
  </si>
  <si>
    <t>Auto-cannon</t>
  </si>
  <si>
    <t>32.png</t>
  </si>
  <si>
    <t>Reaper</t>
  </si>
  <si>
    <t>Cannon with the highest rate of fire and projectile velocity. Needs time to spin up barrels.</t>
  </si>
  <si>
    <t>33.png</t>
  </si>
  <si>
    <t>AC43 Rapier</t>
  </si>
  <si>
    <t>34.png</t>
  </si>
  <si>
    <t>Cricket 1M</t>
  </si>
  <si>
    <t>Unguided rocket. Hard to use, but may be a deadly tool against all enemies. Launches 5 missiles in each volley.</t>
  </si>
  <si>
    <t>Unguided rocket</t>
  </si>
  <si>
    <t>38.png</t>
  </si>
  <si>
    <t>Trucker</t>
  </si>
  <si>
    <t>Used as a foundation for heavy Scavenger tech. A serious cabin for serious survivors.&lt;br&gt;&lt;br&gt;Great tonnage and an imposing profile, yet low speed.</t>
  </si>
  <si>
    <t>Cabins</t>
  </si>
  <si>
    <t>Heavy cabin</t>
  </si>
  <si>
    <t>39.png</t>
  </si>
  <si>
    <t>Spectre-2</t>
  </si>
  <si>
    <t>Twin machine gun. Deals increased damage at the cost of higher energy drain.</t>
  </si>
  <si>
    <t>40.png</t>
  </si>
  <si>
    <t>Heavy generator</t>
  </si>
  <si>
    <t>Adds &lt;span class='desc-green'&gt;2&lt;/span&gt; energy.&lt;br&gt;When destroyed, explodes and deals &lt;span class='desc-red'&gt;175&lt;/span&gt; damage in &lt;span class='desc-red'&gt;2&lt;/span&gt; m radius.&lt;br&gt;Only one generator can be mounted on a vehicle.</t>
  </si>
  <si>
    <t>Hardware</t>
  </si>
  <si>
    <t>Generator</t>
  </si>
  <si>
    <t>41.png</t>
  </si>
  <si>
    <t>Armored track</t>
  </si>
  <si>
    <t>Tank tracks, almost unrusted. Heavy but reliable.&lt;br&gt;Significantly limits maximum vehicle speed. Each mounted track reduces cabin power.</t>
  </si>
  <si>
    <t>Movement</t>
  </si>
  <si>
    <t>Track</t>
  </si>
  <si>
    <t>42.png</t>
  </si>
  <si>
    <t>Copper x100</t>
  </si>
  <si>
    <t>Resources</t>
  </si>
  <si>
    <t>Resource</t>
  </si>
  <si>
    <t>43.png</t>
  </si>
  <si>
    <t>AT Wasp</t>
  </si>
  <si>
    <t>Unguided rocket. Hard to use, but may be a deadly tool against all enemies. Launches 2 missiles in each volley.</t>
  </si>
  <si>
    <t>44.png</t>
  </si>
  <si>
    <t>Executioner 88mm</t>
  </si>
  <si>
    <t>Ballistics, lead, huge damage. Has limited firing angle.</t>
  </si>
  <si>
    <t>Cannon</t>
  </si>
  <si>
    <t>45.png</t>
  </si>
  <si>
    <t>Harvester</t>
  </si>
  <si>
    <t>Deals additional damage while in contact with the target.</t>
  </si>
  <si>
    <t>Melee weapon</t>
  </si>
  <si>
    <t>46.png</t>
  </si>
  <si>
    <t>Mammoth</t>
  </si>
  <si>
    <t>Turret gun allows for precise shots at any range in any direction.</t>
  </si>
  <si>
    <t>47.png</t>
  </si>
  <si>
    <t>Gas generator</t>
  </si>
  <si>
    <t>Adds &lt;span class='desc-green'&gt;3&lt;/span&gt; energy.&lt;br&gt;When destroyed, explodes and deals &lt;span class='desc-red'&gt;650&lt;/span&gt; damage in &lt;span class='desc-red'&gt;3&lt;/span&gt; m radius.&lt;br&gt;Only one generator can be mounted on a vehicle.</t>
  </si>
  <si>
    <t>48.png</t>
  </si>
  <si>
    <t>Scorpion</t>
  </si>
  <si>
    <t>Boasts great accuracy, ideal for any scope.</t>
  </si>
  <si>
    <t>Relic</t>
  </si>
  <si>
    <t>Pulse accelerator</t>
  </si>
  <si>
    <t>49.png</t>
  </si>
  <si>
    <t>Borer</t>
  </si>
  <si>
    <t>51.png</t>
  </si>
  <si>
    <t>Hazardous generator</t>
  </si>
  <si>
    <t>Adds {&lt;span class='desc-green'&gt;2&lt;/span&gt;;'energy point';'energy points'}.&lt;br&gt;When destroyed, explodes and deals &lt;span class='desc-red'&gt;350&lt;/span&gt; damage in &lt;span class='desc-red'&gt;2&lt;/span&gt; m radius.&lt;br&gt;Only one generator can be mounted on a vehicle.</t>
  </si>
  <si>
    <t>52.png</t>
  </si>
  <si>
    <t>Scrap Metal x100</t>
  </si>
  <si>
    <t>53.png</t>
  </si>
  <si>
    <t>Hurricane</t>
  </si>
  <si>
    <t>Volley of 4 infrared-homing missiles.</t>
  </si>
  <si>
    <t>Homing missile volley</t>
  </si>
  <si>
    <t>54.png</t>
  </si>
  <si>
    <t>Retcher</t>
  </si>
  <si>
    <t>Automatic grenade launcher. Launches a volley of 4 very slow projectiles with ballistics.</t>
  </si>
  <si>
    <t>55.png</t>
  </si>
  <si>
    <t>Porcupine</t>
  </si>
  <si>
    <t>Lays burning barrels filled with explosive materials and metal chunks. The barrel explodes on contact with vehicles or when hit with any weapons. Self-destructs in 20 sec.</t>
  </si>
  <si>
    <t>Minelayer</t>
  </si>
  <si>
    <t>56.png</t>
  </si>
  <si>
    <t>Scrap Metal x1000</t>
  </si>
  <si>
    <t>57.png</t>
  </si>
  <si>
    <t>Studded wheel ST</t>
  </si>
  <si>
    <t>A wheel with a studded tyre. Doesn't pick ice of the remote north. Picks ice for the Lunatics' favourite refreshments instead. Each mounted wheel reduces cabin power.</t>
  </si>
  <si>
    <t>Wheel</t>
  </si>
  <si>
    <t>59.png</t>
  </si>
  <si>
    <t>Growl</t>
  </si>
  <si>
    <t>A completely stripped cabin with undying popularity among Lunatics and their disciples.&lt;br&gt;&lt;br&gt;Maximum speed yet very low tonnage.</t>
  </si>
  <si>
    <t>Light cabin</t>
  </si>
  <si>
    <t>60.png</t>
  </si>
  <si>
    <t>Little Boy 6LB</t>
  </si>
  <si>
    <t>Turret cannon allows for precise shots at any range in any direction.</t>
  </si>
  <si>
    <t>61.png</t>
  </si>
  <si>
    <t>Small track</t>
  </si>
  <si>
    <t>Short tracked platform for the most agile vehicles.&lt;br&gt;Slightly limits maximum vehicle speed. Each mounted track reduces cabin power.</t>
  </si>
  <si>
    <t>62.png</t>
  </si>
  <si>
    <t>Hardened track</t>
  </si>
  <si>
    <t>Standard tracked platform hardened for the needs of the new world.&lt;br&gt;Limits maximum vehicle speed. Each mounted track reduces cabin power.</t>
  </si>
  <si>
    <t>63.png</t>
  </si>
  <si>
    <t>Wyvern</t>
  </si>
  <si>
    <t>A cabin that once belonged to a plane. It won't fly again, but it's perfect for fast battles.&lt;br&gt;Suits most combat situations. And the narrow profiles unlocks rich tactical possibilities.</t>
  </si>
  <si>
    <t>Medium cabin</t>
  </si>
  <si>
    <t>64.png</t>
  </si>
  <si>
    <t>Razorback</t>
  </si>
  <si>
    <t>Used to be mounted on a military rocket-carrying truck. Today it's utilized by Scavengers to carry massive cargo.&lt;br&gt;&lt;br&gt;Only one engine can be mounted on a vehicle.</t>
  </si>
  <si>
    <t>Engine</t>
  </si>
  <si>
    <t>65.png</t>
  </si>
  <si>
    <t>Improved Cooler</t>
  </si>
  <si>
    <t>Weapon cooling rate increases by&lt;span class='desc-green'&gt; 0,7% &lt;/span&gt;.&lt;br&gt;Effect stacks.</t>
  </si>
  <si>
    <t>Weapon cooling</t>
  </si>
  <si>
    <t>66.png</t>
  </si>
  <si>
    <t>Ammo pack</t>
  </si>
  <si>
    <t>Increases ammo and missile reserves by &lt;span class='desc-green'&gt;0,3%&lt;/span&gt;.&lt;br&gt;When destroyed, explodes and deals &lt;span class='desc-red'&gt;250&lt;/span&gt; damage in 2 m radius.</t>
  </si>
  <si>
    <t>Ammunition</t>
  </si>
  <si>
    <t>68.png</t>
  </si>
  <si>
    <t>Scope</t>
  </si>
  <si>
    <t>Allows zooming in on enemies and landing more precise shots.&lt;br&gt;Enemy detection radius increased to &lt;span class='desc-green'&gt;350 &lt;/span&gt; m.</t>
  </si>
  <si>
    <t>Visor</t>
  </si>
  <si>
    <t>69.png</t>
  </si>
  <si>
    <t>Judge 76mm</t>
  </si>
  <si>
    <t>70.png</t>
  </si>
  <si>
    <t>Cheetah</t>
  </si>
  <si>
    <t>A V8 engine with a turbocharger has exceptional parameters for quick retreats from anomalous zones and hot spots.&lt;br&gt;&lt;br&gt;Only one engine can be mounted on a vehicle.</t>
  </si>
  <si>
    <t>71.png</t>
  </si>
  <si>
    <t>Explosive spear</t>
  </si>
  <si>
    <t>Deals damage to target on contact.</t>
  </si>
  <si>
    <t>Proximity mine</t>
  </si>
  <si>
    <t>72.png</t>
  </si>
  <si>
    <t>Buzzsaw</t>
  </si>
  <si>
    <t>73.png</t>
  </si>
  <si>
    <t>ST-M23 Defender</t>
  </si>
  <si>
    <t>Great accuracy. Limited fire angle.</t>
  </si>
  <si>
    <t>Frontal machine gun</t>
  </si>
  <si>
    <t>74.png</t>
  </si>
  <si>
    <t>Expanded ammo pack</t>
  </si>
  <si>
    <t>Increases ammo and missile reserves by &lt;span class='desc-green'&gt;1,1%&lt;/span&gt;.&lt;br&gt;When destroyed, explodes and deals &lt;span class='desc-red'&gt;450&lt;/span&gt; damage in 2 m radius.</t>
  </si>
  <si>
    <t>75.png</t>
  </si>
  <si>
    <t>Light generator</t>
  </si>
  <si>
    <t>Adds {&lt;span class='desc-green'&gt;1&lt;/span&gt;;'energy point';'energy points'}.&lt;br&gt;When destroyed, explodes and deals &lt;span class='desc-red'&gt;75&lt;/span&gt; damage in &lt;span class='desc-red'&gt;2&lt;/span&gt; m radius.&lt;br&gt;Only one generator can be mounted on a vehicle.</t>
  </si>
  <si>
    <t>77.png</t>
  </si>
  <si>
    <t>Weapon cooler</t>
  </si>
  <si>
    <t>Weapon cooling rate increases by&lt;span class='desc-green'&gt; 0,5%&lt;/span&gt;.&lt;br&gt;Effect stacks.</t>
  </si>
  <si>
    <t>78.png</t>
  </si>
  <si>
    <t>MD-3 Owl</t>
  </si>
  <si>
    <t>Launches a mobile combat drone attacking all targets in radius.&lt;br&gt;Equipped with a missile launcher.</t>
  </si>
  <si>
    <t>Drone</t>
  </si>
  <si>
    <t>79.png</t>
  </si>
  <si>
    <t>Hardcore</t>
  </si>
  <si>
    <t>An old V-eight engine from the middle of the past century that still holds many surprises.“Just some piffle from the scrap, but it pumps your pistons alright!” (P. Pete)Only one engine can be mounted on a vehicle.</t>
  </si>
  <si>
    <t>80.png</t>
  </si>
  <si>
    <t>Container 'DIY'</t>
  </si>
  <si>
    <t>Crate</t>
  </si>
  <si>
    <t>81.png</t>
  </si>
  <si>
    <t>Chameleon Mk2</t>
  </si>
  <si>
    <t>Makes the vehicle completely invisible for &lt;span class='desc-green'&gt;10&lt;/span&gt; sec. Attacking or receiving damage disables the effect.&lt;br&gt;&lt;br&gt;Only one invisibility module can be installed on a vehicle.</t>
  </si>
  <si>
    <t>Stealth</t>
  </si>
  <si>
    <t>82.png</t>
  </si>
  <si>
    <t>Twin wheel ST</t>
  </si>
  <si>
    <t>A part from the Scavengers' fleet pride — a powerful truck leading the scouting expeditions. Each mounted wheel reduces cabin power.</t>
  </si>
  <si>
    <t>83.png</t>
  </si>
  <si>
    <t>Lancelot</t>
  </si>
  <si>
    <t>An elegant weapon, for a more civilized age.</t>
  </si>
  <si>
    <t>84.png</t>
  </si>
  <si>
    <t>Wires x100</t>
  </si>
  <si>
    <t>85.png</t>
  </si>
  <si>
    <t>Charged radiator</t>
  </si>
  <si>
    <t>Reduces weapon heating rate by &lt;span class='desc-green'&gt; -0,7%&lt;/span&gt;.&lt;br&gt;Effect stacks.</t>
  </si>
  <si>
    <t>86.png</t>
  </si>
  <si>
    <t>Chained wheel ST</t>
  </si>
  <si>
    <t>Lunatics have no interest in high grip. All this wheel leaves behind is sparks, noise and remains of their enemies. Each mounted wheel reduces cabin power.</t>
  </si>
  <si>
    <t>87.png</t>
  </si>
  <si>
    <t>WWT1</t>
  </si>
  <si>
    <t>Fairly durable and reliable. And how stylish!&lt;br&gt;&lt;br&gt;A balanced cabin with enhanced tonnage.</t>
  </si>
  <si>
    <t>88.png</t>
  </si>
  <si>
    <t>PA Scorpion fragment</t>
  </si>
  <si>
    <t>Fragment for assembly of a powerful pulse accelerator Scorpion</t>
  </si>
  <si>
    <t>Component</t>
  </si>
  <si>
    <t>89.png</t>
  </si>
  <si>
    <t>Loot Container</t>
  </si>
  <si>
    <t>Container holds a random part except for parts from Steppenwolfs, Dawn's children and Firestarters: &lt;span class='desc-default'&gt;Epic part&lt;/span&gt; with low probability. &lt;span class='desc-default'&gt;Rare part&lt;/span&gt; with high probability. Decoration with average probability. Paint with low probability.</t>
  </si>
  <si>
    <t>90.png</t>
  </si>
  <si>
    <t>Twin wheel</t>
  </si>
  <si>
    <t>91.png</t>
  </si>
  <si>
    <t>Druzhba 2</t>
  </si>
  <si>
    <t>92.png</t>
  </si>
  <si>
    <t>LM-54 Chord</t>
  </si>
  <si>
    <t>Great against weak points.&lt;br&gt;Allows to quickly dispatch enemies at medium range.</t>
  </si>
  <si>
    <t>93.png</t>
  </si>
  <si>
    <t>AD-12 Falcon</t>
  </si>
  <si>
    <t>Launches a mobile combat drone attacking all targets in radius.&lt;br&gt;Equipped with a basic machine gun.</t>
  </si>
  <si>
    <t>94.png</t>
  </si>
  <si>
    <t>Docker</t>
  </si>
  <si>
    <t>Cabin from a small truck for survivors who value reliability.&lt;br&gt;&lt;br&gt;Great tonnage, but low speed.</t>
  </si>
  <si>
    <t>96.png</t>
  </si>
  <si>
    <t>Avenger 57mm</t>
  </si>
  <si>
    <t>99.png</t>
  </si>
  <si>
    <t>Chameleon</t>
  </si>
  <si>
    <t>Makes the vehicle completely invisible for &lt;span class='desc-green'&gt;6&lt;/span&gt; sec. Attacking or receiving damage disables the effect.&lt;br&gt;&lt;br&gt;Only one invisibility module can be installed on a vehicle.</t>
  </si>
  <si>
    <t>100.png</t>
  </si>
  <si>
    <t>Apollo IV</t>
  </si>
  <si>
    <t>Adds &lt;span class='desc-green'&gt;4&lt;/span&gt; energy.&lt;br&gt;When destroyed, explodes and deals &lt;span class='desc-red'&gt;450&lt;/span&gt; damage in &lt;span class='desc-red'&gt;3&lt;/span&gt; m radius.&lt;br&gt;Only one generator can be mounted on a vehicle.</t>
  </si>
  <si>
    <t>Dawn's Children</t>
  </si>
  <si>
    <t>101.png</t>
  </si>
  <si>
    <t>Studded wheel</t>
  </si>
  <si>
    <t>104.png</t>
  </si>
  <si>
    <t>Material: Gold</t>
  </si>
  <si>
    <t>Spray Can.&lt;br&gt;Can colour most parts.</t>
  </si>
  <si>
    <t>105.png</t>
  </si>
  <si>
    <t>Fuel x100</t>
  </si>
  <si>
    <t>106.png</t>
  </si>
  <si>
    <t>Avia booster</t>
  </si>
  <si>
    <t>While active, pushes the car in the given direction. Can accelerate a vehicle and even launch it upwards. Consumes fuel and takes time to cool down.</t>
  </si>
  <si>
    <t>Booster</t>
  </si>
  <si>
    <t>107.png</t>
  </si>
  <si>
    <t>Improved radiator</t>
  </si>
  <si>
    <t>Reduces weapon heating rate by &lt;span class='desc-green'&gt; -0,5%&lt;/span&gt;.&lt;br&gt;Effect stacks.</t>
  </si>
  <si>
    <t>108.png</t>
  </si>
  <si>
    <t>Weapon radiator</t>
  </si>
  <si>
    <t>Reduces weapon heating rate by &lt;span class='desc-green'&gt; -0,25%&lt;/span&gt;.&lt;br&gt;Effect stacks.</t>
  </si>
  <si>
    <t>109.png</t>
  </si>
  <si>
    <t>Dun horse</t>
  </si>
  <si>
    <t>An engine from a small truck, perfectly fine for leisurely exploring the Wasteland.&lt;br&gt;&lt;br&gt;Only one engine can be mounted on a vehicle.</t>
  </si>
  <si>
    <t>112.png</t>
  </si>
  <si>
    <t>Large wheel ST</t>
  </si>
  <si>
    <t>A rare Scavenger find from the time of agricultural boom on Earth. Each mounted wheel reduces cabin power.</t>
  </si>
  <si>
    <t>113.png</t>
  </si>
  <si>
    <t>Coupons x10</t>
  </si>
  <si>
    <t>114.png</t>
  </si>
  <si>
    <t>Pattern: Will-o'-wisp</t>
  </si>
  <si>
    <t>115.png</t>
  </si>
  <si>
    <t>Large wheel</t>
  </si>
  <si>
    <t>116.png</t>
  </si>
  <si>
    <t>Colossus</t>
  </si>
  <si>
    <t>A tank engine with incredible power output.&lt;br&gt;&lt;br&gt;Only one engine can be mounted on a vehicle.</t>
  </si>
  <si>
    <t>117.png</t>
  </si>
  <si>
    <t>Copper x1000</t>
  </si>
  <si>
    <t>118.png</t>
  </si>
  <si>
    <t>Coupons x100</t>
  </si>
  <si>
    <t>119.png</t>
  </si>
  <si>
    <t>Huntsman</t>
  </si>
  <si>
    <t>A light and fast cabin that you can often see in the Wasteland.&lt;br&gt;&lt;br&gt;Performs well in most combat situations.</t>
  </si>
  <si>
    <t>120.png</t>
  </si>
  <si>
    <t>Chained wheel</t>
  </si>
  <si>
    <t>121.png</t>
  </si>
  <si>
    <t>Powerful radar-detector</t>
  </si>
  <si>
    <t>Enemy detection radius &lt;span class='desc-green'&gt;450&lt;/span&gt; m.&lt;br&gt;Detects enemies in cover at &lt;span class='desc-green'&gt;400&lt;/span&gt; m.&lt;br&gt;Location info transmission radius &lt;span class='desc-green'&gt;450&lt;/span&gt; m.</t>
  </si>
  <si>
    <t>Radar</t>
  </si>
  <si>
    <t>122.png</t>
  </si>
  <si>
    <t>DT Cobra</t>
  </si>
  <si>
    <t>Builds a combat turret defending the perimeter for a limited time.</t>
  </si>
  <si>
    <t>Turret</t>
  </si>
  <si>
    <t>123.png</t>
  </si>
  <si>
    <t>RT Anaconda</t>
  </si>
  <si>
    <t>124.png</t>
  </si>
  <si>
    <t>Electron</t>
  </si>
  <si>
    <t>125.png</t>
  </si>
  <si>
    <t>Small wheel ST</t>
  </si>
  <si>
    <t>A wheel that used to belong to an agile compact car in a bustling metropolis. Each mounted wheel reduces cabin power.</t>
  </si>
  <si>
    <t>126.png</t>
  </si>
  <si>
    <t>ML Porcupine fragment</t>
  </si>
  <si>
    <t>Fragment for assembly of a large minelayer Porcupine.</t>
  </si>
  <si>
    <t>127.png</t>
  </si>
  <si>
    <t>Material: Aluminium</t>
  </si>
  <si>
    <t>Paint and material&lt;br&gt;Can treat most parts.</t>
  </si>
  <si>
    <t>128.png</t>
  </si>
  <si>
    <t>Rocket booster</t>
  </si>
  <si>
    <t>129.png</t>
  </si>
  <si>
    <t>Fender extender</t>
  </si>
  <si>
    <t>Does not affect a vehicle's characteristics, but looks so cool!</t>
  </si>
  <si>
    <t>Decor</t>
  </si>
  <si>
    <t>Appearance</t>
  </si>
  <si>
    <t>130.png</t>
  </si>
  <si>
    <t>Hot red</t>
  </si>
  <si>
    <t>A powerful inline-four with a charger.“Catch and punish! If it tries something funny, repeat! Any questions?” (P. Pete)Only one engine can be mounted on a vehicle.</t>
  </si>
  <si>
    <t>131.png</t>
  </si>
  <si>
    <t>Material: Chrome</t>
  </si>
  <si>
    <t>132.png</t>
  </si>
  <si>
    <t>Exhaust 2</t>
  </si>
  <si>
    <t>134.png</t>
  </si>
  <si>
    <t>Powerful radar</t>
  </si>
  <si>
    <t>Increases enemy detection radius to &lt;span class='desc-green'&gt;600&lt;/span&gt; m.</t>
  </si>
  <si>
    <t>136.png</t>
  </si>
  <si>
    <t>Fuel x1000</t>
  </si>
  <si>
    <t>137.png</t>
  </si>
  <si>
    <t>Outer fender</t>
  </si>
  <si>
    <t>138.png</t>
  </si>
  <si>
    <t>Fuel barrel</t>
  </si>
  <si>
    <t>Allows to receive fuel in missions. Gives 5 fuel. Does not stack with multiple barrels.&lt;br&gt;Upon destruction explodes and deals &lt;span class='desc-red'&gt;200&lt;/span&gt; damage in &lt;span class='desc-red'&gt;3&lt;/span&gt; m. radius.</t>
  </si>
  <si>
    <t>Special module</t>
  </si>
  <si>
    <t>139.png</t>
  </si>
  <si>
    <t>Pattern: Lightning</t>
  </si>
  <si>
    <t>141.png</t>
  </si>
  <si>
    <t>Radar-detector</t>
  </si>
  <si>
    <t>Enemy detection radius &lt;span class='desc-green'&gt;300&lt;/span&gt; m.&lt;br&gt;Detects enemies in cover at &lt;span class='desc-green'&gt;250&lt;/span&gt; m.&lt;br&gt;Location info transmission radius &lt;span class='desc-green'&gt;300&lt;/span&gt; m.</t>
  </si>
  <si>
    <t>142.png</t>
  </si>
  <si>
    <t>Hermes</t>
  </si>
  <si>
    <t>143.png</t>
  </si>
  <si>
    <t>Khaki 1</t>
  </si>
  <si>
    <t>144.png</t>
  </si>
  <si>
    <t>Pattern: Flame</t>
  </si>
  <si>
    <t>145.png</t>
  </si>
  <si>
    <t>Pattern: Digital Desert</t>
  </si>
  <si>
    <t>148.png</t>
  </si>
  <si>
    <t>Pattern: Danger!</t>
  </si>
  <si>
    <t>149.png</t>
  </si>
  <si>
    <t>Material: Quartz</t>
  </si>
  <si>
    <t>150.png</t>
  </si>
  <si>
    <t>Horns</t>
  </si>
  <si>
    <t>Meant to evoke honour and respect.</t>
  </si>
  <si>
    <t>151.png</t>
  </si>
  <si>
    <t>Improved radar</t>
  </si>
  <si>
    <t>Increases enemy detection radius to &lt;span class='desc-green'&gt;450&lt;/span&gt; m.</t>
  </si>
  <si>
    <t>152.png</t>
  </si>
  <si>
    <t>Hell pipes</t>
  </si>
  <si>
    <t>153.png</t>
  </si>
  <si>
    <t>Large speaker</t>
  </si>
  <si>
    <t>155.png</t>
  </si>
  <si>
    <t>Spoiler</t>
  </si>
  <si>
    <t>156.png</t>
  </si>
  <si>
    <t>Brake light</t>
  </si>
  <si>
    <t>It appears that there are no more rules and there's nobodyto notify of your braking. But it's so hard to resist the red blinking lights...</t>
  </si>
  <si>
    <t>157.png</t>
  </si>
  <si>
    <t>Pattern: Checkers</t>
  </si>
  <si>
    <t>158.png</t>
  </si>
  <si>
    <t>Pattern: Forest</t>
  </si>
  <si>
    <t>160.png</t>
  </si>
  <si>
    <t>Spare tyre</t>
  </si>
  <si>
    <t>When the old tyre can no longer serve its purpose, you can create a lot of original decorations. And you can just stick it on the machine.</t>
  </si>
  <si>
    <t>161.png</t>
  </si>
  <si>
    <t>Eagle</t>
  </si>
  <si>
    <t>These crests were traditionally used to decorate machines of the New World Order's officers. But ever since an adventurous Nomad stole their eagle design, anyone can feel like a true... leader.</t>
  </si>
  <si>
    <t>162.png</t>
  </si>
  <si>
    <t>Medium wheel ST</t>
  </si>
  <si>
    <t>Fearless conqueror of the Wasteland's endless valleys and tall dunes. Each mounted wheel reduces cabin power.</t>
  </si>
  <si>
    <t>163.png</t>
  </si>
  <si>
    <t>Small speaker</t>
  </si>
  <si>
    <t>164.png</t>
  </si>
  <si>
    <t>Car jack</t>
  </si>
  <si>
    <t>This device can flip your vehicle without the help of other players.</t>
  </si>
  <si>
    <t>165.png</t>
  </si>
  <si>
    <t>Skull</t>
  </si>
  <si>
    <t>Meant to instill shock and awe.</t>
  </si>
  <si>
    <t>166.png</t>
  </si>
  <si>
    <t>Headlights set</t>
  </si>
  <si>
    <t>Spare lamps are not easy to come by, but many are prepared for sacrifices to decorate their cars.</t>
  </si>
  <si>
    <t>Decor. Lights</t>
  </si>
  <si>
    <t>167.png</t>
  </si>
  <si>
    <t>Electronics x100</t>
  </si>
  <si>
    <t>168.png</t>
  </si>
  <si>
    <t>Material: Carbon</t>
  </si>
  <si>
    <t>170.png</t>
  </si>
  <si>
    <t>Pattern: Dune</t>
  </si>
  <si>
    <t>171.png</t>
  </si>
  <si>
    <t>Radio</t>
  </si>
  <si>
    <t>Increases radius of information transmission to allies to 450 m.</t>
  </si>
  <si>
    <t>172.png</t>
  </si>
  <si>
    <t>Radar small</t>
  </si>
  <si>
    <t>173.png</t>
  </si>
  <si>
    <t>Headlights</t>
  </si>
  <si>
    <t>174.png</t>
  </si>
  <si>
    <t>Small wheel</t>
  </si>
  <si>
    <t>176.png</t>
  </si>
  <si>
    <t>Wasteland</t>
  </si>
  <si>
    <t>177.png</t>
  </si>
  <si>
    <t>Heavy clouds</t>
  </si>
  <si>
    <t>178.png</t>
  </si>
  <si>
    <t>Headlight</t>
  </si>
  <si>
    <t>180.png</t>
  </si>
  <si>
    <t>Fluorescent lamp</t>
  </si>
  <si>
    <t>181.png</t>
  </si>
  <si>
    <t>Hell lamp</t>
  </si>
  <si>
    <t>182.png</t>
  </si>
  <si>
    <t>Material: Grid</t>
  </si>
  <si>
    <t>183.png</t>
  </si>
  <si>
    <t>Victory</t>
  </si>
  <si>
    <t>184.png</t>
  </si>
  <si>
    <t>Medium wheel</t>
  </si>
  <si>
    <t>186.png</t>
  </si>
  <si>
    <t>Red giant</t>
  </si>
  <si>
    <t>187.png</t>
  </si>
  <si>
    <t>Bedroll</t>
  </si>
  <si>
    <t>What can say more about your sense of style than this wonderful bedroll.</t>
  </si>
  <si>
    <t>188.png</t>
  </si>
  <si>
    <t>Bumblebee</t>
  </si>
  <si>
    <t>191.png</t>
  </si>
  <si>
    <t>Brace</t>
  </si>
  <si>
    <t>No part is too small when it comes to beauty.</t>
  </si>
  <si>
    <t>193.png</t>
  </si>
  <si>
    <t>Coral</t>
  </si>
  <si>
    <t>196.png</t>
  </si>
  <si>
    <t>Electronics x10</t>
  </si>
  <si>
    <t>201.png</t>
  </si>
  <si>
    <t>Haze</t>
  </si>
  <si>
    <t>202.png</t>
  </si>
  <si>
    <t>Pattern: Sea</t>
  </si>
  <si>
    <t>208.png</t>
  </si>
  <si>
    <t>Relic container</t>
  </si>
  <si>
    <t>Container may hold rare parts of any faction (except for Steppenwolfs, Dawn\s Children and Firestarters) or relic parts: &lt;span class='desc-default'&gt;Relic part&lt;/span&gt; with low probability. &lt;span class='desc-default'&gt;Rare part&lt;/span&gt; with high probability.</t>
  </si>
  <si>
    <t>209.png</t>
  </si>
  <si>
    <t>Midnight</t>
  </si>
  <si>
    <t>218.png</t>
  </si>
  <si>
    <t>Tail light</t>
  </si>
  <si>
    <t>219.png</t>
  </si>
  <si>
    <t>Wires x1000</t>
  </si>
  <si>
    <t>221.png</t>
  </si>
  <si>
    <t>Khaki 3</t>
  </si>
  <si>
    <t>222.png</t>
  </si>
  <si>
    <t>Twilight</t>
  </si>
  <si>
    <t>224.png</t>
  </si>
  <si>
    <t>Iguana</t>
  </si>
  <si>
    <t>225.png</t>
  </si>
  <si>
    <t>Cherry</t>
  </si>
  <si>
    <t>226.png</t>
  </si>
  <si>
    <t>Ashes</t>
  </si>
  <si>
    <t>227.png</t>
  </si>
  <si>
    <t>Last dusk</t>
  </si>
  <si>
    <t>228.png</t>
  </si>
  <si>
    <t>Ocean</t>
  </si>
  <si>
    <t>229.png</t>
  </si>
  <si>
    <t>Khaki 2</t>
  </si>
  <si>
    <t>230.png</t>
  </si>
  <si>
    <t>Dark red</t>
  </si>
  <si>
    <t>302.png</t>
  </si>
  <si>
    <t>Pattern: Scorched Earth</t>
  </si>
  <si>
    <t>303.png</t>
  </si>
  <si>
    <t>Lone ranger' stars</t>
  </si>
  <si>
    <t>304.png</t>
  </si>
  <si>
    <t>Lone ranger' stripes</t>
  </si>
  <si>
    <t>305.png</t>
  </si>
  <si>
    <t>Run, you fools!'</t>
  </si>
  <si>
    <t>Decor. Signs</t>
  </si>
  <si>
    <t>307.png</t>
  </si>
  <si>
    <t>Duck</t>
  </si>
  <si>
    <t>There's a soft core even in the hardest hearts.</t>
  </si>
  <si>
    <t>308.png</t>
  </si>
  <si>
    <t>Travel bag</t>
  </si>
  <si>
    <t>More bags to the bag god!</t>
  </si>
  <si>
    <t>310.png</t>
  </si>
  <si>
    <t>Stop!'</t>
  </si>
  <si>
    <t>311.png</t>
  </si>
  <si>
    <t>You're trash!'</t>
  </si>
  <si>
    <t>312.png</t>
  </si>
  <si>
    <t>Everything is permitted'</t>
  </si>
  <si>
    <t>313.png</t>
  </si>
  <si>
    <t>No escape'</t>
  </si>
  <si>
    <t>314.png</t>
  </si>
  <si>
    <t>Stop and think'</t>
  </si>
  <si>
    <t>315.png</t>
  </si>
  <si>
    <t>Cantle bag</t>
  </si>
  <si>
    <t>Doesn't really hold anything but looks good.</t>
  </si>
  <si>
    <t>317.png</t>
  </si>
  <si>
    <t>Material: Plate steel</t>
  </si>
  <si>
    <t>318.png</t>
  </si>
  <si>
    <t>Teutonic Eagle</t>
  </si>
  <si>
    <t>319.png</t>
  </si>
  <si>
    <t>Teutonic Cross</t>
  </si>
  <si>
    <t>320.png</t>
  </si>
  <si>
    <t>Spike-1</t>
  </si>
  <si>
    <t>When gunpowder and explosives are running dry, good old cables, springs and rebars come in handy. Works just as well.</t>
  </si>
  <si>
    <t>Crossbow</t>
  </si>
  <si>
    <t>321.png</t>
  </si>
  <si>
    <t>Bludgeon</t>
  </si>
  <si>
    <t>A heavy bludgeon for decorating Knechte armored vehicles.</t>
  </si>
  <si>
    <t>322.png</t>
  </si>
  <si>
    <t>Huntsman's horn</t>
  </si>
  <si>
    <t>The sound of this horn forever haunts those who met a Knechte group. And survived.</t>
  </si>
  <si>
    <t>Decor. Horn</t>
  </si>
  <si>
    <t>323.png</t>
  </si>
  <si>
    <t>Teutonic Stripes</t>
  </si>
  <si>
    <t>324.png</t>
  </si>
  <si>
    <t>Armored skull</t>
  </si>
  <si>
    <t>A skull encased in armor is a prominent Knechte decor piece.</t>
  </si>
  <si>
    <t>325.png</t>
  </si>
  <si>
    <t>Gun-mount wheel</t>
  </si>
  <si>
    <t>An elegant yet sturdy medieval wheel.</t>
  </si>
  <si>
    <t>326.png</t>
  </si>
  <si>
    <t>Gun-mount wheel ST</t>
  </si>
  <si>
    <t>327.png</t>
  </si>
  <si>
    <t>Uranium ore x10</t>
  </si>
  <si>
    <t>335.png</t>
  </si>
  <si>
    <t>Uranium ore x100</t>
  </si>
  <si>
    <t>337.png</t>
  </si>
  <si>
    <t>Firebug</t>
  </si>
  <si>
    <t>Only a madman could've dreamed up using fire in close combat. Apparently there's no shortage of madmen among the Engineers...</t>
  </si>
  <si>
    <t>Flamethrower</t>
  </si>
  <si>
    <t>341.png</t>
  </si>
  <si>
    <t>Joker'</t>
  </si>
  <si>
    <t>342.png</t>
  </si>
  <si>
    <t>Cucaracha'</t>
  </si>
  <si>
    <t>344.png</t>
  </si>
  <si>
    <t>Titanic'</t>
  </si>
  <si>
    <t>345.png</t>
  </si>
  <si>
    <t>Pull Over'</t>
  </si>
  <si>
    <t>346.png</t>
  </si>
  <si>
    <t>Full House 2'</t>
  </si>
  <si>
    <t>347.png</t>
  </si>
  <si>
    <t>Express'</t>
  </si>
  <si>
    <t>348.png</t>
  </si>
  <si>
    <t>Buzzer</t>
  </si>
  <si>
    <t>Size doesn't matter!&lt;br&gt;(Only the last installed horn will make a sound).</t>
  </si>
  <si>
    <t>353.png</t>
  </si>
  <si>
    <t>Potemkin'</t>
  </si>
  <si>
    <t>356.png</t>
  </si>
  <si>
    <t>Olifant'</t>
  </si>
  <si>
    <t>362.png</t>
  </si>
  <si>
    <t>Firebug flamethrower fragment</t>
  </si>
  <si>
    <t>Fragment for assembly of a flamethrower Firebug.</t>
  </si>
  <si>
    <t>366.png</t>
  </si>
  <si>
    <t>Wanderer's crate</t>
  </si>
  <si>
    <t>Container may hold any &lt;span class='desc-default'&gt;Rare part&lt;/span&gt; except for wheels, Steppenwolfs, Dawn's children and Firestarters parts.</t>
  </si>
  <si>
    <t>368.png</t>
  </si>
  <si>
    <t>Pathfinder's crate</t>
  </si>
  <si>
    <t>Container may hold any &lt;span class='desc-default'&gt;Epic part&lt;/span&gt; except for tracks, Steppenwolfs, Dawn's children and Firestarters parts.</t>
  </si>
  <si>
    <t>369.png</t>
  </si>
  <si>
    <t>Repair Kit</t>
  </si>
  <si>
    <t>370.png</t>
  </si>
  <si>
    <t>Jawbreaker</t>
  </si>
  <si>
    <t>Low profile and stern exterior that clearly point to its military heritage.&lt;br&gt;&lt;br&gt;A balanced cabin with a low profile, but its speed leaves much to be desired.</t>
  </si>
  <si>
    <t>Steppenwolfs</t>
  </si>
  <si>
    <t>371.png</t>
  </si>
  <si>
    <t>Humpback</t>
  </si>
  <si>
    <t>The biggest cabin in the Wasteland. This time size definitely matters.&lt;br&gt;&lt;br&gt;Incredible tonnage and wide profile yet low speed.</t>
  </si>
  <si>
    <t>372.png</t>
  </si>
  <si>
    <t>Sidekick</t>
  </si>
  <si>
    <t>Launches a mobile wheeled combat drone attacking all targets in radius.</t>
  </si>
  <si>
    <t>373.png</t>
  </si>
  <si>
    <t>Clarinet TOW</t>
  </si>
  <si>
    <t>Guided missile. For a couple of seconds after launch the operator can guide the direction of the missile's detonation.&lt;br&gt;&lt;br&gt;Only one weapon of this type can be installed on the car.</t>
  </si>
  <si>
    <t>374.png</t>
  </si>
  <si>
    <t>Caucasus</t>
  </si>
  <si>
    <t>An intelligent defence complex. Just point at the target and it does the rest.&lt;br&gt;&lt;br&gt;To start your attack, hold the trigger for a second, while keeping an enemy in the weapon's range in your crosshairs.</t>
  </si>
  <si>
    <t>375.png</t>
  </si>
  <si>
    <t>Carapace</t>
  </si>
  <si>
    <t>A tank is a tank even when the world is ashes.&lt;br&gt;&lt;br&gt;High characteristics and comfortable size, but very low speed.</t>
  </si>
  <si>
    <t>Tank cabin</t>
  </si>
  <si>
    <t>376.png</t>
  </si>
  <si>
    <t>Duster</t>
  </si>
  <si>
    <t>A good example of using old scrap and a lawnmower to build a cabin suitable for survival in the Wasteland.&lt;br&gt;&lt;br&gt;High speed yet minimal tonnage.</t>
  </si>
  <si>
    <t>377.png</t>
  </si>
  <si>
    <t>Fury</t>
  </si>
  <si>
    <t>Cabin of a military offroad vehicle. The name perfectly matches the appearance.&lt;br&gt;&lt;br&gt;A multipurpose cabin with a low profile.</t>
  </si>
  <si>
    <t>378.png</t>
  </si>
  <si>
    <t>Racing wheel ST</t>
  </si>
  <si>
    <t>Light steering wheel with above-average durability and tonnage. Each mounted wheel reduces cabin power.</t>
  </si>
  <si>
    <t>379.png</t>
  </si>
  <si>
    <t>APC wheel ST</t>
  </si>
  <si>
    <t>Durable stable wheel from a military APC. Steering. Each mounted wheel reduces cabin power.</t>
  </si>
  <si>
    <t>380.png</t>
  </si>
  <si>
    <t>Bear</t>
  </si>
  <si>
    <t>This pickup has survived so many modifications that it looks like an armored car.&lt;br&gt;&lt;br&gt;A multi-purpose cabin with low speed yet high durability.</t>
  </si>
  <si>
    <t>381.png</t>
  </si>
  <si>
    <t>Golden Eagle</t>
  </si>
  <si>
    <t>A V12 from an old military plane. Easily moves a couple of extra tonnes, but it's a bird that can never fly.&lt;br&gt;&lt;br&gt;Only one engine can be mounted on a vehicle.</t>
  </si>
  <si>
    <t>382.png</t>
  </si>
  <si>
    <t>Racing wheel</t>
  </si>
  <si>
    <t>Light wheel with above-average durability and tonnage. Each mounted wheel reduces cabin power.</t>
  </si>
  <si>
    <t>383.png</t>
  </si>
  <si>
    <t>APC wheel</t>
  </si>
  <si>
    <t>Durable stable wheel from a military APC. Each mounted wheel reduces cabin power.</t>
  </si>
  <si>
    <t>384.png</t>
  </si>
  <si>
    <t>ML 200</t>
  </si>
  <si>
    <t>Mechanical leg has low speed, but huge durability. Also compensates for recoil and impulse from enemy projectiles and explosions. Each mounted leg reduces cabin power.</t>
  </si>
  <si>
    <t>Mechanical Leg</t>
  </si>
  <si>
    <t>385.png</t>
  </si>
  <si>
    <t>Storage expansion</t>
  </si>
  <si>
    <t>Tools, lifts, and servos for storage space expansion.</t>
  </si>
  <si>
    <t>Consumable</t>
  </si>
  <si>
    <t>386.png</t>
  </si>
  <si>
    <t>Blueprint storage</t>
  </si>
  <si>
    <t>387.png</t>
  </si>
  <si>
    <t>Balloon tyre ST</t>
  </si>
  <si>
    <t>Patented Engineers' technology allows to build wheels with no tyres. Each mounted wheel reduces cabin power.</t>
  </si>
  <si>
    <t>388.png</t>
  </si>
  <si>
    <t>Landing gear ST</t>
  </si>
  <si>
    <t>In a bid to reduce vehicle mass as much as possible Nomads use these wheels, previously mounted on helicopters or small planes. Each mounted wheel reduces cabin power.</t>
  </si>
  <si>
    <t>389.png</t>
  </si>
  <si>
    <t>Balloon tyre</t>
  </si>
  <si>
    <t>390.png</t>
  </si>
  <si>
    <t>Mandrake</t>
  </si>
  <si>
    <t>Enormous firepower and ability to deal damage from a large distance while hidden in cover are offset by significant recoil, high spread in motion and utter helplessness in melee combat.</t>
  </si>
  <si>
    <t>Howitzer</t>
  </si>
  <si>
    <t>391.png</t>
  </si>
  <si>
    <t>Pattern: Graffiti Dusk</t>
  </si>
  <si>
    <t>393.png</t>
  </si>
  <si>
    <t>Landing gear</t>
  </si>
  <si>
    <t>395.png</t>
  </si>
  <si>
    <t>Round brake light</t>
  </si>
  <si>
    <t>396.png</t>
  </si>
  <si>
    <t>Twilight metallic</t>
  </si>
  <si>
    <t>397.png</t>
  </si>
  <si>
    <t>Magnetic field</t>
  </si>
  <si>
    <t>398.png</t>
  </si>
  <si>
    <t>Square cover</t>
  </si>
  <si>
    <t>A metal piece used as vehicle armor.</t>
  </si>
  <si>
    <t>399.png</t>
  </si>
  <si>
    <t>Embers</t>
  </si>
  <si>
    <t>400.png</t>
  </si>
  <si>
    <t>Pattern: Calendar</t>
  </si>
  <si>
    <t>401.png</t>
  </si>
  <si>
    <t>Mirage metallic</t>
  </si>
  <si>
    <t>402.png</t>
  </si>
  <si>
    <t>White</t>
  </si>
  <si>
    <t>403.png</t>
  </si>
  <si>
    <t>Manhole cover</t>
  </si>
  <si>
    <t>404.png</t>
  </si>
  <si>
    <t>Clear sky</t>
  </si>
  <si>
    <t>405.png</t>
  </si>
  <si>
    <t>Pattern: Larch</t>
  </si>
  <si>
    <t>406.png</t>
  </si>
  <si>
    <t>Amulet</t>
  </si>
  <si>
    <t>407.png</t>
  </si>
  <si>
    <t>Polar lights</t>
  </si>
  <si>
    <t>408.png</t>
  </si>
  <si>
    <t>Fairing</t>
  </si>
  <si>
    <t>Plastic roof fairing strengthened with a metal frame.</t>
  </si>
  <si>
    <t>409.png</t>
  </si>
  <si>
    <t>Pattern: Pine</t>
  </si>
  <si>
    <t>410.png</t>
  </si>
  <si>
    <t>Emerald</t>
  </si>
  <si>
    <t>411.png</t>
  </si>
  <si>
    <t>Material: Rust</t>
  </si>
  <si>
    <t>412.png</t>
  </si>
  <si>
    <t>Pattern: Urban</t>
  </si>
  <si>
    <t>413.png</t>
  </si>
  <si>
    <t>Thug</t>
  </si>
  <si>
    <t>A special version of the pickup cabin. Protective coating reduces the driver's chances of growing a third leg by 10%!</t>
  </si>
  <si>
    <t>414.png</t>
  </si>
  <si>
    <t>Material: Snake</t>
  </si>
  <si>
    <t>415.png</t>
  </si>
  <si>
    <t>Artisan's pack</t>
  </si>
  <si>
    <t>Contains a random customization kit.&lt;br&gt;&lt;span class='desc-default'&gt;Legendary part&lt;/span&gt; with very low probability.&lt;br&gt;&lt;span class='desc-default'&gt;Epic part&lt;/span&gt; with low probability.&lt;br&gt;&lt;span class='desc-default'&gt;Rare part&lt;/span&gt; with average probability.&lt;br&gt;Common part with high probability.</t>
  </si>
  <si>
    <t>416.png</t>
  </si>
  <si>
    <t>Pattern: Tribal</t>
  </si>
  <si>
    <t>417.png</t>
  </si>
  <si>
    <t>Material: Crash Tester</t>
  </si>
  <si>
    <t>418.png</t>
  </si>
  <si>
    <t>CK 'Screamer'</t>
  </si>
  <si>
    <t>Customization kit</t>
  </si>
  <si>
    <t>419.png</t>
  </si>
  <si>
    <t>Paint container</t>
  </si>
  <si>
    <t>Contains a random paint can.&lt;br&gt;&lt;span class='desc-default'&gt;Epic part&lt;/span&gt; with very low probability.&lt;br&gt;&lt;span class='desc-default'&gt;Rare part&lt;/span&gt; with average probability.&lt;br&gt;Common part with high probability.</t>
  </si>
  <si>
    <t>420.png</t>
  </si>
  <si>
    <t>CK 'Phoenix'</t>
  </si>
  <si>
    <t>421.png</t>
  </si>
  <si>
    <t>CK 'Blitzkrieg'</t>
  </si>
  <si>
    <t>422.png</t>
  </si>
  <si>
    <t>CK 'Dragon'</t>
  </si>
  <si>
    <t>423.png</t>
  </si>
  <si>
    <t>CK 'Redbird'</t>
  </si>
  <si>
    <t>424.png</t>
  </si>
  <si>
    <t>CK 'Vacuum'</t>
  </si>
  <si>
    <t>425.png</t>
  </si>
  <si>
    <t>CK 'Shark'</t>
  </si>
  <si>
    <t>426.png</t>
  </si>
  <si>
    <t>CK 'Piranha'</t>
  </si>
  <si>
    <t>427.png</t>
  </si>
  <si>
    <t>CK 'Boombox'</t>
  </si>
  <si>
    <t>428.png</t>
  </si>
  <si>
    <t>CK 'Finetooth'</t>
  </si>
  <si>
    <t>429.png</t>
  </si>
  <si>
    <t>CK 'Enemy mine'</t>
  </si>
  <si>
    <t>430.png</t>
  </si>
  <si>
    <t>CK 'Moonlight'</t>
  </si>
  <si>
    <t>431.png</t>
  </si>
  <si>
    <t>Pattern: Graffiti Dawn</t>
  </si>
  <si>
    <t>432.png</t>
  </si>
  <si>
    <t>Fuel tank</t>
  </si>
  <si>
    <t>433.png</t>
  </si>
  <si>
    <t>CK 'Bloodsucker'</t>
  </si>
  <si>
    <t>435.png</t>
  </si>
  <si>
    <t>CK 'Guardsman'</t>
  </si>
  <si>
    <t>436.png</t>
  </si>
  <si>
    <t>CK 'Direwolf'</t>
  </si>
  <si>
    <t>437.png</t>
  </si>
  <si>
    <t>CK 'Killer'</t>
  </si>
  <si>
    <t>438.png</t>
  </si>
  <si>
    <t>CK 'Dharma's Umbrella'</t>
  </si>
  <si>
    <t>439.png</t>
  </si>
  <si>
    <t>CK 'Rumble'</t>
  </si>
  <si>
    <t>440.png</t>
  </si>
  <si>
    <t>CK 'Jaws'</t>
  </si>
  <si>
    <t>441.png</t>
  </si>
  <si>
    <t>Legend' container</t>
  </si>
  <si>
    <t>450.png</t>
  </si>
  <si>
    <t>Decor container</t>
  </si>
  <si>
    <t>Contains one decor part of common, rare or epic rarity.&lt;br&gt;&lt;span class='desc-default'&gt;Epic part&lt;/span&gt; with very low probability.&lt;br&gt;&lt;span class='desc-default'&gt;Rare part&lt;/span&gt; with low probability.&lt;br&gt;Common part with high probability.</t>
  </si>
  <si>
    <t>451.png</t>
  </si>
  <si>
    <t>Found in the wasteland</t>
  </si>
  <si>
    <t>453.png</t>
  </si>
  <si>
    <t>Steel cavalry' container</t>
  </si>
  <si>
    <t>454.png</t>
  </si>
  <si>
    <t>Fuze</t>
  </si>
  <si>
    <t>Deploys mobile drones, exploding upon proximity to targets.</t>
  </si>
  <si>
    <t>455.png</t>
  </si>
  <si>
    <t>BC-17 Tsunami</t>
  </si>
  <si>
    <t>Has tremendous recoil, high accuracy and high muzzle velocity.</t>
  </si>
  <si>
    <t>456.png</t>
  </si>
  <si>
    <t>BG2 Goblin</t>
  </si>
  <si>
    <t>Reduced energy requirements, deals additional damage in collisions. Part of incoming damage passes through the weapon.</t>
  </si>
  <si>
    <t>457.png</t>
  </si>
  <si>
    <t>Material: Alligator</t>
  </si>
  <si>
    <t>458.png</t>
  </si>
  <si>
    <t>Pattern: Blackboard</t>
  </si>
  <si>
    <t>460.png</t>
  </si>
  <si>
    <t>Prospector's container</t>
  </si>
  <si>
    <t>Container holds a random part, except for wheels and Steppenwolfs, Dawn's children and Firestarters parts: &lt;span class='desc-default'&gt;Epic part for 24 hours&lt;/span&gt; with low probability. Engineer flag for 3 hours with average probability. &lt;span class='desc-default'&gt;Rare part for 24 hours&lt;/span&gt; with high probability.</t>
  </si>
  <si>
    <t>462.png</t>
  </si>
  <si>
    <t>Miner's container</t>
  </si>
  <si>
    <t>Container holds a random part except for parts from Steppenwolfs, Dawn's children and Firestarters: &lt;span class='desc-default'&gt;200 coins&lt;/span&gt; with low probability. &lt;span class='desc-default'&gt;Epic untradeable part&lt;/span&gt; except for wheels with low probability. Engineer standard with low probability. Common part with average probability. &lt;span class='desc-default'&gt;Rare untradeable part&lt;/span&gt; with high probability.</t>
  </si>
  <si>
    <t>464.png</t>
  </si>
  <si>
    <t>Adventurer's container</t>
  </si>
  <si>
    <t>Container holds a random part except for parts from Steppenwolfs, “Dawn's children and Firestarters: &lt;span class='desc-default'&gt;20 coins&lt;/span&gt; with low probability. &lt;span class='desc-default'&gt;Rare untradeable part&lt;/span&gt; except for wheels with low probability. Engineer flag with low probability. Common part with high probability.</t>
  </si>
  <si>
    <t>465.png</t>
  </si>
  <si>
    <t>Pattern: Aboriginal</t>
  </si>
  <si>
    <t>467.png</t>
  </si>
  <si>
    <t>Pattern: Down under</t>
  </si>
  <si>
    <t>468.png</t>
  </si>
  <si>
    <t>Army of viewers</t>
  </si>
  <si>
    <t>A rare paint that can only be obtained by being in the right place at the right time.</t>
  </si>
  <si>
    <t>471.png</t>
  </si>
  <si>
    <t>Synthesis</t>
  </si>
  <si>
    <t>Launches a dense batch of overheated plasma.</t>
  </si>
  <si>
    <t>Plasma Emitter</t>
  </si>
  <si>
    <t>475.png</t>
  </si>
  <si>
    <t>Icarus IV</t>
  </si>
  <si>
    <t>Early prototype of a compact jet engine with vertical takeoff, also known as hover. The first modification that does not explode at high revs. Well, not every time.</t>
  </si>
  <si>
    <t>Hover</t>
  </si>
  <si>
    <t>479.png</t>
  </si>
  <si>
    <t>Pattern: Lava</t>
  </si>
  <si>
    <t>481.png</t>
  </si>
  <si>
    <t>Lunar IV ST</t>
  </si>
  <si>
    <t>Meant for moving across the surface of celestial bodies, but also works great in the Wasteland.</t>
  </si>
  <si>
    <t>482.png</t>
  </si>
  <si>
    <t>Lunar IV</t>
  </si>
  <si>
    <t>483.png</t>
  </si>
  <si>
    <t>Red Moon</t>
  </si>
  <si>
    <t>484.png</t>
  </si>
  <si>
    <t>Tinkerer's pack</t>
  </si>
  <si>
    <t>Contains a random customization kit.&lt;br&gt;&lt;span class='desc-default'&gt;Relic CK&lt;/span&gt; with exceedingly low probability.&lt;br&gt;&lt;span class='desc-default'&gt;Legendary CK&lt;/span&gt; with very low probability.&lt;br&gt;&lt;span class='desc-default'&gt;Epic CK&lt;/span&gt; with low probability.&lt;br&gt;&lt;span class='desc-default'&gt;Rare CK&lt;/span&gt; with average probability.&lt;br&gt;Common CK with high probability.</t>
  </si>
  <si>
    <t>485.png</t>
  </si>
  <si>
    <t>White Sun</t>
  </si>
  <si>
    <t>486.png</t>
  </si>
  <si>
    <t>CK 'Demon'</t>
  </si>
  <si>
    <t>487.png</t>
  </si>
  <si>
    <t>Neutrino</t>
  </si>
  <si>
    <t>Two zoom levels and target weak spot detection — everything an experienced sniper needs.&lt;br&gt;Also increases enemy detection radius to &lt;span class='desc-green'&gt;400 &lt;/span&gt; m.</t>
  </si>
  <si>
    <t>488.png</t>
  </si>
  <si>
    <t>CK 'Swarm'</t>
  </si>
  <si>
    <t>489.png</t>
  </si>
  <si>
    <t>Quasar</t>
  </si>
  <si>
    <t>Projects a ball lightning dealing significant damage to any matter it contacts with.</t>
  </si>
  <si>
    <t>490.png</t>
  </si>
  <si>
    <t>CK 'Cannoneer'</t>
  </si>
  <si>
    <t>491.png</t>
  </si>
  <si>
    <t>CK 'Snow Leopard'</t>
  </si>
  <si>
    <t>492.png</t>
  </si>
  <si>
    <t>CK 'Kaboom'</t>
  </si>
  <si>
    <t>493.png</t>
  </si>
  <si>
    <t>CK 'General'</t>
  </si>
  <si>
    <t>494.png</t>
  </si>
  <si>
    <t>CK Sling</t>
  </si>
  <si>
    <t>Changes appearance of the autocannon $targetDef$. The customized item cannot be traded. Only one CK can be applied to an item.</t>
  </si>
  <si>
    <t>495.png</t>
  </si>
  <si>
    <t>Aegis-Prime</t>
  </si>
  <si>
    <t>Projects a spherical protective field absorbing all damage from fast projectiles and energy streams.</t>
  </si>
  <si>
    <t>Protectivefield</t>
  </si>
  <si>
    <t>496.png</t>
  </si>
  <si>
    <t>Icarus VII</t>
  </si>
  <si>
    <t>Vertically-aligned rocket engine provides steady thrust and lets the vehicle hover above ground.</t>
  </si>
  <si>
    <t>497.png</t>
  </si>
  <si>
    <t>Aurora</t>
  </si>
  <si>
    <t>Fusion of mechanics and electronics. Air cooling of barrels provides uninterrupted pulse laser rate of fire. Sadly, effective range in the atmosphere is very limited.</t>
  </si>
  <si>
    <t>Combat laser</t>
  </si>
  <si>
    <t>498.png</t>
  </si>
  <si>
    <t>CK 'Flying Daggers'</t>
  </si>
  <si>
    <t>499.png</t>
  </si>
  <si>
    <t>CK 'Swashbuckler'</t>
  </si>
  <si>
    <t>500.png</t>
  </si>
  <si>
    <t>CK 'Centipede'</t>
  </si>
  <si>
    <t>502.png</t>
  </si>
  <si>
    <t>CK 'Officer'</t>
  </si>
  <si>
    <t>503.png</t>
  </si>
  <si>
    <t>CK 'Garuda'</t>
  </si>
  <si>
    <t>504.png</t>
  </si>
  <si>
    <t>Quantum</t>
  </si>
  <si>
    <t>Control compartment of an experimental flying vessel, re-tooled for moving along planet surface.</t>
  </si>
  <si>
    <t>505.png</t>
  </si>
  <si>
    <t>Pilgrim</t>
  </si>
  <si>
    <t>Cabin from a multi-functional research vehicle, re-tooled as a base for an armored vehicle.</t>
  </si>
  <si>
    <t>506.png</t>
  </si>
  <si>
    <t>CK 'Viper'</t>
  </si>
  <si>
    <t>507.png</t>
  </si>
  <si>
    <t>Barrier IX</t>
  </si>
  <si>
    <t>Creates a large-radius static defence field in the activation spot, absorbing damage from fast projectiles and energy flows for a couple of seconds.</t>
  </si>
  <si>
    <t>508.png</t>
  </si>
  <si>
    <t>Spark III</t>
  </si>
  <si>
    <t>Deals identical damage to all targets in the aiming cone. Effective against multiple enemies.</t>
  </si>
  <si>
    <t>Tesla cannon</t>
  </si>
  <si>
    <t>509.png</t>
  </si>
  <si>
    <t>Genesis</t>
  </si>
  <si>
    <t>Contains spare parts and mechanisms for instant assembly of small devices.&lt;br&gt;Increases the number of launches for any drones and turrets by &lt;span class='desc-green'&gt;0,25%&lt;/span&gt;.&lt;br&gt;Upon destruction explodes and deals &lt;span class='desc-red'&gt;200&lt;/span&gt; damage in &lt;span class='desc-red'&gt;2&lt;/span&gt; m. range.</t>
  </si>
  <si>
    <t>Microfactory</t>
  </si>
  <si>
    <t>510.png</t>
  </si>
  <si>
    <t>CK Thunderclap</t>
  </si>
  <si>
    <t>Changes appearance of the rocket launcher $targetDef$. The customized item cannot be traded. Only one CK can be applied to an item.</t>
  </si>
  <si>
    <t>511.png</t>
  </si>
  <si>
    <t>CK 'Bumbarash'</t>
  </si>
  <si>
    <t>512.png</t>
  </si>
  <si>
    <t>CK 'Armadillo'</t>
  </si>
  <si>
    <t>513.png</t>
  </si>
  <si>
    <t>CK 'Hunter'</t>
  </si>
  <si>
    <t>514.png</t>
  </si>
  <si>
    <t>CK 'Hiderigami'</t>
  </si>
  <si>
    <t>515.png</t>
  </si>
  <si>
    <t>Material: Test Dummy</t>
  </si>
  <si>
    <t>516.png</t>
  </si>
  <si>
    <t>Fright container</t>
  </si>
  <si>
    <t>Contains terrifying festive decorations.&lt;br&gt;&lt;span class='desc-default'&gt;Legendary part&lt;/span&gt; with low probability.&lt;br&gt;&lt;span class='desc-default'&gt;Epic part&lt;/span&gt; with average probability.&lt;br&gt;&lt;span class='desc-default'&gt;Rare part&lt;/span&gt; with high probability.</t>
  </si>
  <si>
    <t>524.png</t>
  </si>
  <si>
    <t>Easy target</t>
  </si>
  <si>
    <t>525.png</t>
  </si>
  <si>
    <t>Jack-o'-lantern</t>
  </si>
  <si>
    <t>Festive spirit survives all disasters. And even in a ruined world there is a place for a good old Jack-o'-lantern.</t>
  </si>
  <si>
    <t>526.png</t>
  </si>
  <si>
    <t>Death mask</t>
  </si>
  <si>
    <t>527.png</t>
  </si>
  <si>
    <t>The Harvest</t>
  </si>
  <si>
    <t>528.png</t>
  </si>
  <si>
    <t>Horror show</t>
  </si>
  <si>
    <t>It seems something went wrong during the creation of this festive decoration. But there was no time to fix it.</t>
  </si>
  <si>
    <t>529.png</t>
  </si>
  <si>
    <t>D minor'</t>
  </si>
  <si>
    <t>530.png</t>
  </si>
  <si>
    <t>Hearse horn</t>
  </si>
  <si>
    <t>With this grim trophy from the “Witch Hunt” you will raise the art of driving a hearse to a new level — don't just give corpses a ride, but also make corpses! (Only the last installed horn will be active.)</t>
  </si>
  <si>
    <t>531.png</t>
  </si>
  <si>
    <t>Nocturnal Hunter</t>
  </si>
  <si>
    <t>532.png</t>
  </si>
  <si>
    <t>Why so serious?'</t>
  </si>
  <si>
    <t>533.png</t>
  </si>
  <si>
    <t>Pumpalloons</t>
  </si>
  <si>
    <t>A very valuable and rare decor item coveted by everyone. Sometimes becomes the reason for armed conflicts.</t>
  </si>
  <si>
    <t>534.png</t>
  </si>
  <si>
    <t>Crazy exhaust</t>
  </si>
  <si>
    <t>Guaranteed to become a great addition to any car. Especially if its owner is not particularly sane.</t>
  </si>
  <si>
    <t>535.png</t>
  </si>
  <si>
    <t>Camouflage: Web</t>
  </si>
  <si>
    <t>536.png</t>
  </si>
  <si>
    <t>Metal fatigue</t>
  </si>
  <si>
    <t>543.png</t>
  </si>
  <si>
    <t>Steppe spider</t>
  </si>
  <si>
    <t>Built using blueprints from a war hero, who had spent several weeks in the Wasteland and returned in one piece.</t>
  </si>
  <si>
    <t>548.png</t>
  </si>
  <si>
    <t>Black Gold</t>
  </si>
  <si>
    <t>549.png</t>
  </si>
  <si>
    <t>Camouflage: Crater</t>
  </si>
  <si>
    <t>551.png</t>
  </si>
  <si>
    <t>Beware of mutants!</t>
  </si>
  <si>
    <t>A while back millions of drivers used to obey these signs. Now it's just a stylish decoration.</t>
  </si>
  <si>
    <t>554.png</t>
  </si>
  <si>
    <t>ST-M26 Tackler</t>
  </si>
  <si>
    <t>Great accuracy. Reduced energy requirements.&lt;br&gt;Limited fire angle.</t>
  </si>
  <si>
    <t>560.png</t>
  </si>
  <si>
    <t>Icebox</t>
  </si>
  <si>
    <t>These cabins used to be a key attribute in the rituals of the Frost sect. Inside, they maintained sub-zero temperatures and played loud, dramatic music. But if you throw out all the extra bits, there is enough room for armor and additional equipment.</t>
  </si>
  <si>
    <t>561.png</t>
  </si>
  <si>
    <t>Gift container</t>
  </si>
  <si>
    <t>Contains New Year's decor, dyes and stickers.&lt;br&gt;&lt;span class='desc-default'&gt;Legendary part&lt;/span&gt; with very low probability.&lt;br&gt;&lt;span class='desc-default'&gt;Epic part&lt;/span&gt; with low probability.&lt;br&gt;&lt;span class='desc-default'&gt;Rare part&lt;/span&gt; with average probability.&lt;br&gt;Common part with high probability.</t>
  </si>
  <si>
    <t>562.png</t>
  </si>
  <si>
    <t>Iron Father</t>
  </si>
  <si>
    <t>The snow used to be whiter, and the Father used to be kinder. But everything changes when the apocalypse comes!</t>
  </si>
  <si>
    <t>564.png</t>
  </si>
  <si>
    <t>Cold flame</t>
  </si>
  <si>
    <t>565.png</t>
  </si>
  <si>
    <t>Neon Santa</t>
  </si>
  <si>
    <t>A miraculously preserved and functioning neon sign, detached from the stand of a roadside motel.</t>
  </si>
  <si>
    <t>566.png</t>
  </si>
  <si>
    <t>Rudolph's Nose</t>
  </si>
  <si>
    <t>Nose of a mythical creature that drinks petrol and roars at night, scaring the kids.</t>
  </si>
  <si>
    <t>567.png</t>
  </si>
  <si>
    <t>Rudolph's Horn</t>
  </si>
  <si>
    <t>Horn of a mythical creature that drinks petrol and roars at night, scaring the kids.</t>
  </si>
  <si>
    <t>568.png</t>
  </si>
  <si>
    <t>Boom, and you win!</t>
  </si>
  <si>
    <t>569.png</t>
  </si>
  <si>
    <t>Happy snowflake</t>
  </si>
  <si>
    <t>570.png</t>
  </si>
  <si>
    <t>Snow Tyres</t>
  </si>
  <si>
    <t>Another sample of post-apocalyptic creativity.</t>
  </si>
  <si>
    <t>571.png</t>
  </si>
  <si>
    <t>Make way!</t>
  </si>
  <si>
    <t>572.png</t>
  </si>
  <si>
    <t>Hunter's trophy</t>
  </si>
  <si>
    <t>Artisans of the new world still recognize beauty. Or depravity, depending on your point of view.</t>
  </si>
  <si>
    <t>573.png</t>
  </si>
  <si>
    <t>Happy New Year!</t>
  </si>
  <si>
    <t>574.png</t>
  </si>
  <si>
    <t>Deer counter</t>
  </si>
  <si>
    <t>575.png</t>
  </si>
  <si>
    <t>Festive Avenger</t>
  </si>
  <si>
    <t>576.png</t>
  </si>
  <si>
    <t>Bow</t>
  </si>
  <si>
    <t>577.png</t>
  </si>
  <si>
    <t>Snowman XO</t>
  </si>
  <si>
    <t>578.png</t>
  </si>
  <si>
    <t>Snowman Pete</t>
  </si>
  <si>
    <t>579.png</t>
  </si>
  <si>
    <t>Stocking with gifts</t>
  </si>
  <si>
    <t>580.png</t>
  </si>
  <si>
    <t>Festive taste</t>
  </si>
  <si>
    <t>581.png</t>
  </si>
  <si>
    <t>Snowman AB</t>
  </si>
  <si>
    <t>582.png</t>
  </si>
  <si>
    <t>Snowman</t>
  </si>
  <si>
    <t>583.png</t>
  </si>
  <si>
    <t>Northern Fairytale</t>
  </si>
  <si>
    <t>584.png</t>
  </si>
  <si>
    <t>Cookie</t>
  </si>
  <si>
    <t>585.png</t>
  </si>
  <si>
    <t>Christmas not-a-toy</t>
  </si>
  <si>
    <t>586.png</t>
  </si>
  <si>
    <t>Croup</t>
  </si>
  <si>
    <t>587.png</t>
  </si>
  <si>
    <t>Player Union</t>
  </si>
  <si>
    <t>588.png</t>
  </si>
  <si>
    <t>Frostbite</t>
  </si>
  <si>
    <t>Lots of vans with cones like this used to roam the cities. Where are they now?</t>
  </si>
  <si>
    <t>589.png</t>
  </si>
  <si>
    <t>Croissant</t>
  </si>
  <si>
    <t>590.png</t>
  </si>
  <si>
    <t>Camouflask</t>
  </si>
  <si>
    <t>591.png</t>
  </si>
  <si>
    <t>From the forest'</t>
  </si>
  <si>
    <t>592.png</t>
  </si>
  <si>
    <t>A little something</t>
  </si>
  <si>
    <t>593.png</t>
  </si>
  <si>
    <t>Skinner</t>
  </si>
  <si>
    <t>Harpoon a metal fish! This cannon launches a spear with a sturdy rope attached to it. It latches onto the surface on hit.&lt;br&gt;Penetrates up to 1 m of armor.</t>
  </si>
  <si>
    <t>Harpoon cannon</t>
  </si>
  <si>
    <t>Firestarters</t>
  </si>
  <si>
    <t>594.png</t>
  </si>
  <si>
    <t>Meat Grinder</t>
  </si>
  <si>
    <t>A curious means of transportation with augers by some Archimedes guy. Each installed auger reduces cabin power, but allows you to move freely sideways.</t>
  </si>
  <si>
    <t>Auger</t>
  </si>
  <si>
    <t>595.png</t>
  </si>
  <si>
    <t>Cerberus</t>
  </si>
  <si>
    <t>The “Cerberus” cabin is a survivor's best friend. It understands everything, but just can't speak. Guts enemies in melee combat like the fierce mythical hound.</t>
  </si>
  <si>
    <t>596.png</t>
  </si>
  <si>
    <t>Junkbow</t>
  </si>
  <si>
    <t>Mass production of ammunition fell into oblivion together with the old world. Don't worry, you can charge the “Junkbow” with all sorts of literal junk right from the Wasteland!</t>
  </si>
  <si>
    <t>598.png</t>
  </si>
  <si>
    <t>Bat</t>
  </si>
  <si>
    <t>One of the Firestarter cabins carried across the Wasteland by the night itself.</t>
  </si>
  <si>
    <t>599.png</t>
  </si>
  <si>
    <t>Shiv ST</t>
  </si>
  <si>
    <t>Take a look at the original wheel rim design. It brings out the sharp emotions of driving across the Wasteland. The faster you drive, the more it hurts for those hit by the spikes! Each mounted wheel reduces cabin power.</t>
  </si>
  <si>
    <t>600.png</t>
  </si>
  <si>
    <t>Shiv</t>
  </si>
  <si>
    <t>602.png</t>
  </si>
  <si>
    <t>Fire Salamander</t>
  </si>
  <si>
    <t>603.png</t>
  </si>
  <si>
    <t>Asmodeus</t>
  </si>
  <si>
    <t>606.png</t>
  </si>
  <si>
    <t>Capricorn</t>
  </si>
  <si>
    <t>Stickers can be placed on any surface, as well rotated and changed in size.</t>
  </si>
  <si>
    <t>607.png</t>
  </si>
  <si>
    <t>Belial</t>
  </si>
  <si>
    <t>608.png</t>
  </si>
  <si>
    <t>Phoenix</t>
  </si>
  <si>
    <t>A simple crossbow wasn't enough for Firestarter engineers, so they added a bit of explosives.&lt;br&gt;The projectile sticks to the enemy hull and after a few seconds deals significant damage during the explosion. But if the victim or its allies have time to destroy the projectile while the wick is burning, then detonation will not happen.</t>
  </si>
  <si>
    <t>609.png</t>
  </si>
  <si>
    <t>Bigfoot ST</t>
  </si>
  <si>
    <t>Saved from the time of the competitions of giant trucks and was improved by Firestarters to crush the enemies more effectively. Each mounted wheel reduces cabin power.</t>
  </si>
  <si>
    <t>610.png</t>
  </si>
  <si>
    <t>Bigfoot</t>
  </si>
  <si>
    <t>611.png</t>
  </si>
  <si>
    <t>Oppressor</t>
  </si>
  <si>
    <t>An armored car with an extremely powerful 12-valve engine that can blow away everything in its path: small obstacles, sleepy raiders, a roof...&lt;br&gt;&lt;br&gt;Only one engine can be installed on the vehicle.</t>
  </si>
  <si>
    <t>612.png</t>
  </si>
  <si>
    <t>Werewolf</t>
  </si>
  <si>
    <t>With a cabin like this, a defeat can turn into a victory! And it does not fear silver bullets.</t>
  </si>
  <si>
    <t>613.png</t>
  </si>
  <si>
    <t>Tormentor</t>
  </si>
  <si>
    <t>With this hardware, all melee weapons start to spin like crazy and hurt everyone even more for &lt;span class='desc-green'&gt;$spell_duration$&lt;/span&gt; sec.</t>
  </si>
  <si>
    <t>Weapon booster</t>
  </si>
  <si>
    <t>614.png</t>
  </si>
  <si>
    <t>Flauros</t>
  </si>
  <si>
    <t>615.png</t>
  </si>
  <si>
    <t>Draco</t>
  </si>
  <si>
    <t>This used to be an agricultural flamethrower for destruction of weeds and pests. A rare case, when the essence has not changed over time.</t>
  </si>
  <si>
    <t>616.png</t>
  </si>
  <si>
    <t>Fortune</t>
  </si>
  <si>
    <t>Launches three wheels, which roll happily and explode when they collide with an enemy or receive damage.&lt;br&gt;They are stuffed with unstable explosives, so they detonate after 8 sec.</t>
  </si>
  <si>
    <t>617.png</t>
  </si>
  <si>
    <t>Incinerator</t>
  </si>
  <si>
    <t>Launches an incendiary projectile, that leaves a burning area at the place of explosion. When you hit someone with this weapon, Firestarters scream, it seems, something about a fiery hyena. Apparently, they do not know that they are not found in Wasteland.</t>
  </si>
  <si>
    <t>Catapult</t>
  </si>
  <si>
    <t>618.png</t>
  </si>
  <si>
    <t>Stallion ST</t>
  </si>
  <si>
    <t>Pneumatic suspension with variable ride height allows the car to operate in two modes. And also perform tricks.</t>
  </si>
  <si>
    <t>619.png</t>
  </si>
  <si>
    <t>Jockey</t>
  </si>
  <si>
    <t>Despite a somewhat awkward appearance and many patches on the hood, this cabin can pleasantly surprise you.</t>
  </si>
  <si>
    <t>620.png</t>
  </si>
  <si>
    <t>Stallion</t>
  </si>
  <si>
    <t>621.png</t>
  </si>
  <si>
    <t>Lollipop</t>
  </si>
  <si>
    <t>622.png</t>
  </si>
  <si>
    <t>Quick and the Dead</t>
  </si>
  <si>
    <t>623.png</t>
  </si>
  <si>
    <t>Ambulance lights</t>
  </si>
  <si>
    <t>A box of lights with a siren, miraculously preserved after the disaster, alerting everyone around that they need to give way urgently.</t>
  </si>
  <si>
    <t>624.png</t>
  </si>
  <si>
    <t>Hot Rod</t>
  </si>
  <si>
    <t>A classic that has lived through dozens of modifications, perfect for surviving tough conditions in style.&lt;br&gt;&lt;br&gt;A multi-purpose cabin with good speed and small size.</t>
  </si>
  <si>
    <t>625.png</t>
  </si>
  <si>
    <t>Bear's Roar</t>
  </si>
  <si>
    <t>626.png</t>
  </si>
  <si>
    <t>Wolf Eyes</t>
  </si>
  <si>
    <t>627.png</t>
  </si>
  <si>
    <t>Plague</t>
  </si>
  <si>
    <t>628.png</t>
  </si>
  <si>
    <t>Snake venom</t>
  </si>
  <si>
    <t>629.png</t>
  </si>
  <si>
    <t>With the shield or on the shield</t>
  </si>
  <si>
    <t>630.png</t>
  </si>
  <si>
    <t>Wings of Victory</t>
  </si>
  <si>
    <t>631.png</t>
  </si>
  <si>
    <t>MachineGuns &amp; Roses</t>
  </si>
  <si>
    <t>632.png</t>
  </si>
  <si>
    <t>Through difficulties</t>
  </si>
  <si>
    <t>633.png</t>
  </si>
  <si>
    <t>Purr love</t>
  </si>
  <si>
    <t>634.png</t>
  </si>
  <si>
    <t>Brave heart</t>
  </si>
  <si>
    <t>635.png</t>
  </si>
  <si>
    <t>Premonition</t>
  </si>
  <si>
    <t>636.png</t>
  </si>
  <si>
    <t>Tusk</t>
  </si>
  <si>
    <t>Several tusks fixed on this cabin's front are not only an element of intimidation, but also an unusual melee weapon.</t>
  </si>
  <si>
    <t>637.png</t>
  </si>
  <si>
    <t>Boar scalp</t>
  </si>
  <si>
    <t>638.png</t>
  </si>
  <si>
    <t>Eye of the beast</t>
  </si>
  <si>
    <t>639.png</t>
  </si>
  <si>
    <t>Surprise!</t>
  </si>
  <si>
    <t>640.png</t>
  </si>
  <si>
    <t>Crab it</t>
  </si>
  <si>
    <t>641.png</t>
  </si>
  <si>
    <t>Wild Boar</t>
  </si>
  <si>
    <t>642.png</t>
  </si>
  <si>
    <t>Lady Ivy</t>
  </si>
  <si>
    <t>643.png</t>
  </si>
  <si>
    <t>Harley king</t>
  </si>
  <si>
    <t>644.png</t>
  </si>
  <si>
    <t>Nosedive</t>
  </si>
  <si>
    <t>645.png</t>
  </si>
  <si>
    <t>Warrior duck</t>
  </si>
  <si>
    <t>646.png</t>
  </si>
  <si>
    <t>Missile balloons</t>
  </si>
  <si>
    <t xml:space="preserve">Inflatable Missiles is a great way to make fun of your friends. </t>
  </si>
  <si>
    <t>647.png</t>
  </si>
  <si>
    <t>Inflatable Mammoth</t>
  </si>
  <si>
    <t>The inflatable cannon was conceived as a decoy gadget. But its ridiculous appearance made it incredibly popular in the Wasteland.</t>
  </si>
  <si>
    <t>648.png</t>
  </si>
  <si>
    <t>No entry'</t>
  </si>
  <si>
    <t>649.png</t>
  </si>
  <si>
    <t>Maintenance'</t>
  </si>
  <si>
    <t>650.png</t>
  </si>
  <si>
    <t>Royal trophy</t>
  </si>
  <si>
    <t>This prestigious award can only be received by winning in Battle Royale.</t>
  </si>
  <si>
    <t>651.png</t>
  </si>
  <si>
    <t>Cyclone</t>
  </si>
  <si>
    <t>An arms race often becomes the engine of progress. Who would have thought that you could squeeze out additional firepower from a twin auto-cannon. But it happened. Moreover, Cyclone's rate of fire rises while shooting!</t>
  </si>
  <si>
    <t>652.png</t>
  </si>
  <si>
    <t>Goliath</t>
  </si>
  <si>
    <t>People have invented similar tracks during their first global war with each other. Now they are used in the current, less global war.&lt;br&gt;When mounted, severely limit the car's maximum speed. Each mounted track reduces the cabin's power.</t>
  </si>
  <si>
    <t>663.png</t>
  </si>
  <si>
    <t>Dogs of War</t>
  </si>
  <si>
    <t>735.png</t>
  </si>
  <si>
    <t>M-37 Piercer</t>
  </si>
  <si>
    <t>Machine gun with extreme rate of fire and a burst fire mode. Don't expect pinpoint accuracy and huge damage, but it can provide surprising density of fire.</t>
  </si>
  <si>
    <t>763.png</t>
  </si>
  <si>
    <t>Prometheus V</t>
  </si>
  <si>
    <t>It's amazing how ideas of inventions come almost simultaneously to different people. The creators of Prometheus V, although they had worked independently, assembled a weapon very reminiscent of Synthesis. Each shot boosts the next one.</t>
  </si>
  <si>
    <t>764.png</t>
  </si>
  <si>
    <t>Fafnir</t>
  </si>
  <si>
    <t>The engineer in charge of this metal monster's design was clearly inspired by legends of dragons.&lt;br&gt;A volley from a couple of these shotguns can literally vaporise anyone who's foolish enough to stand too close.</t>
  </si>
  <si>
    <t>765.png</t>
  </si>
  <si>
    <t>Aspect</t>
  </si>
  <si>
    <t>This machine gun requires nerves of steel to deal maximum damage. But with sufficient gunner skill it's unparalleled at medium distances.</t>
  </si>
  <si>
    <t>766.png</t>
  </si>
  <si>
    <t>Solomon's pattern</t>
  </si>
  <si>
    <t>767.png</t>
  </si>
  <si>
    <t>Ghost</t>
  </si>
  <si>
    <t>Once this cabin belonged to a helicopter and climbed high in the sky. It's just as hard to believe, as the fact that TVs kill people. However, all of this is true.</t>
  </si>
  <si>
    <t>769.png</t>
  </si>
  <si>
    <t>Kapkan</t>
  </si>
  <si>
    <t>A curious weapon with mines that won't let a single victim elude you.&lt;br&gt;Does not affect trucks and leviathans.</t>
  </si>
  <si>
    <t>770.png</t>
  </si>
  <si>
    <t>Mentor's container</t>
  </si>
  <si>
    <t>Contains decor parts not available anywhere else.</t>
  </si>
  <si>
    <t>773.png</t>
  </si>
  <si>
    <t>Hunger</t>
  </si>
  <si>
    <t>775.png</t>
  </si>
  <si>
    <t>Victory at all costs</t>
  </si>
  <si>
    <t>776.png</t>
  </si>
  <si>
    <t>White star</t>
  </si>
  <si>
    <t>777.png</t>
  </si>
  <si>
    <t>Lest we forget</t>
  </si>
  <si>
    <t>778.png</t>
  </si>
  <si>
    <t>Victory medal</t>
  </si>
  <si>
    <t>779.png</t>
  </si>
  <si>
    <t>They shall not pass!</t>
  </si>
  <si>
    <t>780.png</t>
  </si>
  <si>
    <t>Misty Marshes</t>
  </si>
  <si>
    <t>782.png</t>
  </si>
  <si>
    <t>Batteries x10</t>
  </si>
  <si>
    <t>783.png</t>
  </si>
  <si>
    <t>Batteries x100</t>
  </si>
  <si>
    <t>784.png</t>
  </si>
  <si>
    <t>Plastic x100</t>
  </si>
  <si>
    <t>785.png</t>
  </si>
  <si>
    <t>Plastic x1000</t>
  </si>
  <si>
    <t>786.png</t>
  </si>
  <si>
    <t>Firestarter</t>
  </si>
  <si>
    <t>790.png</t>
  </si>
  <si>
    <t>Steppenwolf</t>
  </si>
  <si>
    <t>791.png</t>
  </si>
  <si>
    <t>Dawn's Child</t>
  </si>
  <si>
    <t>792.png</t>
  </si>
  <si>
    <t>Vuvuzela</t>
  </si>
  <si>
    <t>A ringing blast to accompany every match ever and, of course, the post-game celebrations.</t>
  </si>
  <si>
    <t>794.png</t>
  </si>
  <si>
    <t>Number One' hand</t>
  </si>
  <si>
    <t>795.png</t>
  </si>
  <si>
    <t>Goat' hand</t>
  </si>
  <si>
    <t>796.png</t>
  </si>
  <si>
    <t>Black and Blue' flare</t>
  </si>
  <si>
    <t>Flare</t>
  </si>
  <si>
    <t>799.png</t>
  </si>
  <si>
    <t>Red Eye' flare</t>
  </si>
  <si>
    <t>800.png</t>
  </si>
  <si>
    <t>Ball in the game</t>
  </si>
  <si>
    <t>802.png</t>
  </si>
  <si>
    <t>Number '1'</t>
  </si>
  <si>
    <t>803.png</t>
  </si>
  <si>
    <t>Number '4'</t>
  </si>
  <si>
    <t>804.png</t>
  </si>
  <si>
    <t>Number '7'</t>
  </si>
  <si>
    <t>805.png</t>
  </si>
  <si>
    <t>Number '9'</t>
  </si>
  <si>
    <t>806.png</t>
  </si>
  <si>
    <t>To the championship!</t>
  </si>
  <si>
    <t>Spray paint and pattern in the style of “Steel Championship”. Can be applied to most parts.</t>
  </si>
  <si>
    <t>808.png</t>
  </si>
  <si>
    <t>Torero</t>
  </si>
  <si>
    <t>This cabin from a powerful supercar is equipped with a mighty engine and a couple of tech solutions increasing accuracy.</t>
  </si>
  <si>
    <t>809.png</t>
  </si>
  <si>
    <t>Corno sinistro</t>
  </si>
  <si>
    <t>The owner of this decoration is easy to find because of the unique twin flames ejected by the pipes.</t>
  </si>
  <si>
    <t>810.png</t>
  </si>
  <si>
    <t>Corno destro</t>
  </si>
  <si>
    <t>811.png</t>
  </si>
  <si>
    <t>Muleta Wing</t>
  </si>
  <si>
    <t>A wing of this shape attracts everyone's attention and occasionally bullets from haters.</t>
  </si>
  <si>
    <t>812.png</t>
  </si>
  <si>
    <t>Mad bull</t>
  </si>
  <si>
    <t>815.png</t>
  </si>
  <si>
    <t>El Dorado</t>
  </si>
  <si>
    <t>819.png</t>
  </si>
  <si>
    <t>Spectral Flame</t>
  </si>
  <si>
    <t>823.png</t>
  </si>
  <si>
    <t>Half-light</t>
  </si>
  <si>
    <t>825.png</t>
  </si>
  <si>
    <t>Contact 2M</t>
  </si>
  <si>
    <t>Want to shoot some targets with a friend, but he keeps driving away?&lt;br&gt;Just couple his vehicle to yours!&lt;br&gt;You and your ally should both install the module “Contact 2M”, activate it and get the crafts as close together as possible. One module can only be used to attach to a single vehicle.</t>
  </si>
  <si>
    <t>Coupling module</t>
  </si>
  <si>
    <t>826.png</t>
  </si>
  <si>
    <t>Corvo</t>
  </si>
  <si>
    <t>Looks very much like a gun from the very old world, when the knechte were far from roaming the Wasteland's highways. It very well may be that there were no highways at all (such savagery!).&lt;br&gt;Ammunition reserves and reloading speed can't be changed. The clip is reloaded automatically.</t>
  </si>
  <si>
    <t>Revolver</t>
  </si>
  <si>
    <t>827.png</t>
  </si>
  <si>
    <t>Nidhogg</t>
  </si>
  <si>
    <t>Deliberate, yet lethal force that's fit to sing songs about.&lt;br&gt;The shotgun reaches its peak efficiency at close range and high speed.</t>
  </si>
  <si>
    <t>828.png</t>
  </si>
  <si>
    <t>Helios</t>
  </si>
  <si>
    <t>Allegedly, the early prototypes of this emitter were very unstable and took the lives of at least as many allies as they did enemies. But does all this really matter if it launches a volley of 5 plasma pellets, deals high damage and has incredible accuracy?</t>
  </si>
  <si>
    <t>829.png</t>
  </si>
  <si>
    <t>Oculus VI</t>
  </si>
  <si>
    <t>This Dawn's Children prototype can see what's hidden from the naked eye, and you can't. That's why, just for your sake, the sensor turns towards the hidden enemy, blinks and beeps. With this gadget, nobody else can take you by surprise!&lt;br&gt;Invisibility detection range up to &lt;span class='desc-green'&gt;125&lt;/span&gt; m.&lt;br&gt;Enemy detection range up to &lt;span class='desc-green'&gt;150&lt;/span&gt; m.</t>
  </si>
  <si>
    <t>830.png</t>
  </si>
  <si>
    <t>ID</t>
  </si>
  <si>
    <t>Name</t>
  </si>
  <si>
    <t>Buy Price</t>
  </si>
  <si>
    <t>Sell Price</t>
  </si>
  <si>
    <t>2018-10-24T14:55:03</t>
  </si>
  <si>
    <t>Drain knight</t>
  </si>
  <si>
    <t>832.png</t>
  </si>
  <si>
    <t>Lance knight shield</t>
  </si>
  <si>
    <t>833.png</t>
  </si>
  <si>
    <t>Jouster</t>
  </si>
  <si>
    <t>834.png</t>
  </si>
  <si>
    <t>Knight rider</t>
  </si>
  <si>
    <t>835.png</t>
  </si>
  <si>
    <t>Lion rampant</t>
  </si>
  <si>
    <t>836.png</t>
  </si>
  <si>
    <t>Iron lily</t>
  </si>
  <si>
    <t>837.png</t>
  </si>
  <si>
    <t>Fleur-de-lis</t>
  </si>
  <si>
    <t>839.png</t>
  </si>
  <si>
    <t>Skull pipe</t>
  </si>
  <si>
    <t>None</t>
  </si>
  <si>
    <t>840.png</t>
  </si>
  <si>
    <t>Air Witch Force</t>
  </si>
  <si>
    <t>842.png</t>
  </si>
  <si>
    <t>The Headless Driver</t>
  </si>
  <si>
    <t>843.png</t>
  </si>
  <si>
    <t>Bat out of hell</t>
  </si>
  <si>
    <t>844.png</t>
  </si>
  <si>
    <t>Pumpker</t>
  </si>
  <si>
    <t>845.png</t>
  </si>
  <si>
    <t>Red widow</t>
  </si>
  <si>
    <t>846.png</t>
  </si>
  <si>
    <t>Mummy</t>
  </si>
  <si>
    <t>848.png</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</si>
</sst>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22" fontId="0" fillId="0" borderId="0" xfId="0" applyNumberFormat="1"/>
    <xf numFmtId="0" fontId="0" fillId="0" borderId="0" xfId="0" quotePrefix="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47625</xdr:rowOff>
        </xdr:from>
        <xdr:to>
          <xdr:col>2</xdr:col>
          <xdr:colOff>9525</xdr:colOff>
          <xdr:row>2</xdr:row>
          <xdr:rowOff>9525</xdr:rowOff>
        </xdr:to>
        <xdr:sp macro="" textlink="">
          <xdr:nvSpPr>
            <xdr:cNvPr id="2049" name="Load Crossout Items"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Crossout DB Items</a:t>
              </a:r>
            </a:p>
            <a:p>
              <a:pPr algn="ctr" rtl="0">
                <a:defRPr sz="1000"/>
              </a:pPr>
              <a:r>
                <a:rPr lang="de-DE" sz="1100" b="0" i="0" u="none" strike="noStrike" baseline="0">
                  <a:solidFill>
                    <a:srgbClr val="000000"/>
                  </a:solidFill>
                  <a:latin typeface="Calibri"/>
                </a:rPr>
                <a:t>CSchaltfläc1</a:t>
              </a:r>
            </a:p>
          </xdr:txBody>
        </xdr:sp>
        <xdr:clientData fPrintsWithSheet="0"/>
      </xdr:twoCellAnchor>
    </mc:Choice>
    <mc:Fallback/>
  </mc:AlternateContent>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B2:T474"/>
  <sheetViews>
    <sheetView tabSelected="1" topLeftCell="B1" workbookViewId="0">
      <pane ySplit="1" topLeftCell="A2" activePane="bottomLeft" state="frozenSplit"/>
      <selection pane="bottomLeft" activeCell="E20" sqref="E20"/>
    </sheetView>
  </sheetViews>
  <sheetFormatPr baseColWidth="10" defaultRowHeight="15" x14ac:dyDescent="0.25"/>
  <cols>
    <col min="1" max="1" width="4" bestFit="1" customWidth="1"/>
    <col min="2" max="2" width="29.42578125" bestFit="1" customWidth="1"/>
    <col min="3" max="3" width="13.140625" customWidth="1"/>
    <col min="4" max="4" width="9.7109375" bestFit="1" customWidth="1"/>
    <col min="5" max="5" width="8.5703125" bestFit="1" customWidth="1"/>
    <col min="6" max="6" width="10.28515625" bestFit="1" customWidth="1"/>
    <col min="7" max="7" width="8.7109375" bestFit="1" customWidth="1"/>
    <col min="8" max="8" width="9" bestFit="1" customWidth="1"/>
    <col min="9" max="9" width="10.140625" bestFit="1" customWidth="1"/>
    <col min="10" max="10" width="16.140625" bestFit="1" customWidth="1"/>
    <col min="11" max="12" width="14.85546875" bestFit="1" customWidth="1"/>
    <col min="13" max="13" width="7.85546875" bestFit="1" customWidth="1"/>
    <col min="14" max="14" width="9" bestFit="1" customWidth="1"/>
    <col min="15" max="15" width="13.85546875" bestFit="1" customWidth="1"/>
    <col min="16" max="16" width="13.140625" bestFit="1" customWidth="1"/>
    <col min="17" max="17" width="20.28515625" bestFit="1" customWidth="1"/>
    <col min="18" max="18" width="10.42578125" bestFit="1" customWidth="1"/>
    <col min="19" max="19" width="18.7109375" bestFit="1" customWidth="1"/>
    <col min="20" max="20" width="15.140625" bestFit="1" customWidth="1"/>
    <col min="21" max="21" width="7.42578125" bestFit="1" customWidth="1"/>
    <col min="22" max="22" width="11" bestFit="1" customWidth="1"/>
    <col min="23" max="23" width="10.28515625" bestFit="1" customWidth="1"/>
    <col min="24" max="24" width="13.85546875" bestFit="1" customWidth="1"/>
    <col min="25" max="25" width="6.7109375" bestFit="1" customWidth="1"/>
    <col min="26" max="26" width="8.28515625" bestFit="1" customWidth="1"/>
    <col min="27" max="27" width="20.5703125" bestFit="1" customWidth="1"/>
    <col min="28" max="28" width="14.42578125" bestFit="1" customWidth="1"/>
    <col min="29" max="29" width="15.28515625" bestFit="1" customWidth="1"/>
    <col min="30" max="31" width="14.7109375" bestFit="1" customWidth="1"/>
    <col min="32" max="33" width="21.42578125" bestFit="1" customWidth="1"/>
    <col min="34" max="34" width="7.85546875" bestFit="1" customWidth="1"/>
    <col min="35" max="35" width="11" bestFit="1" customWidth="1"/>
    <col min="36" max="36" width="8.28515625" bestFit="1" customWidth="1"/>
    <col min="37" max="37" width="5.85546875" bestFit="1" customWidth="1"/>
    <col min="38" max="38" width="16.28515625" bestFit="1" customWidth="1"/>
    <col min="39" max="39" width="15.7109375" bestFit="1" customWidth="1"/>
    <col min="40" max="40" width="13.42578125" bestFit="1" customWidth="1"/>
    <col min="41" max="41" width="15.85546875" bestFit="1" customWidth="1"/>
    <col min="42" max="42" width="13.85546875" bestFit="1" customWidth="1"/>
    <col min="43" max="43" width="5" bestFit="1" customWidth="1"/>
    <col min="44" max="44" width="5.85546875" bestFit="1" customWidth="1"/>
    <col min="45" max="45" width="12.42578125" bestFit="1" customWidth="1"/>
    <col min="46" max="46" width="30.5703125" bestFit="1" customWidth="1"/>
  </cols>
  <sheetData>
    <row r="2" spans="20:20" x14ac:dyDescent="0.25">
      <c r="T2" s="1"/>
    </row>
    <row r="3" spans="20:20" x14ac:dyDescent="0.25">
      <c r="T3" s="1"/>
    </row>
    <row r="4" spans="20:20" x14ac:dyDescent="0.25">
      <c r="T4" s="1"/>
    </row>
    <row r="5" spans="20:20" x14ac:dyDescent="0.25">
      <c r="T5" s="1"/>
    </row>
    <row r="6" spans="20:20" x14ac:dyDescent="0.25">
      <c r="T6" s="1"/>
    </row>
    <row r="7" spans="20:20" x14ac:dyDescent="0.25">
      <c r="T7" s="1"/>
    </row>
    <row r="8" spans="20:20" x14ac:dyDescent="0.25">
      <c r="T8" s="1"/>
    </row>
    <row r="9" spans="20:20" x14ac:dyDescent="0.25">
      <c r="T9" s="1"/>
    </row>
    <row r="10" spans="20:20" x14ac:dyDescent="0.25">
      <c r="T10" s="1"/>
    </row>
    <row r="11" spans="20:20" x14ac:dyDescent="0.25">
      <c r="T11" s="1"/>
    </row>
    <row r="12" spans="20:20" x14ac:dyDescent="0.25">
      <c r="T12" s="1"/>
    </row>
    <row r="13" spans="20:20" x14ac:dyDescent="0.25">
      <c r="T13" s="1"/>
    </row>
    <row r="14" spans="20:20" x14ac:dyDescent="0.25">
      <c r="T14" s="1"/>
    </row>
    <row r="15" spans="20:20" x14ac:dyDescent="0.25">
      <c r="T15" s="1"/>
    </row>
    <row r="16" spans="20:20" x14ac:dyDescent="0.25">
      <c r="T16" s="1"/>
    </row>
    <row r="17" spans="20:20" x14ac:dyDescent="0.25">
      <c r="T17" s="1"/>
    </row>
    <row r="18" spans="20:20" x14ac:dyDescent="0.25">
      <c r="T18" s="1"/>
    </row>
    <row r="19" spans="20:20" x14ac:dyDescent="0.25">
      <c r="T19" s="1"/>
    </row>
    <row r="20" spans="20:20" x14ac:dyDescent="0.25">
      <c r="T20" s="1"/>
    </row>
    <row r="21" spans="20:20" x14ac:dyDescent="0.25">
      <c r="T21" s="1"/>
    </row>
    <row r="22" spans="20:20" x14ac:dyDescent="0.25">
      <c r="T22" s="1"/>
    </row>
    <row r="23" spans="20:20" x14ac:dyDescent="0.25">
      <c r="T23" s="1"/>
    </row>
    <row r="24" spans="20:20" x14ac:dyDescent="0.25">
      <c r="T24" s="1"/>
    </row>
    <row r="25" spans="20:20" x14ac:dyDescent="0.25">
      <c r="T25" s="1"/>
    </row>
    <row r="26" spans="20:20" x14ac:dyDescent="0.25">
      <c r="T26" s="1"/>
    </row>
    <row r="27" spans="20:20" x14ac:dyDescent="0.25">
      <c r="T27" s="1"/>
    </row>
    <row r="28" spans="20:20" x14ac:dyDescent="0.25">
      <c r="T28" s="1"/>
    </row>
    <row r="29" spans="20:20" x14ac:dyDescent="0.25">
      <c r="T29" s="1"/>
    </row>
    <row r="30" spans="20:20" x14ac:dyDescent="0.25">
      <c r="T30" s="1"/>
    </row>
    <row r="31" spans="20:20" x14ac:dyDescent="0.25">
      <c r="T31" s="1"/>
    </row>
    <row r="32" spans="20:20" x14ac:dyDescent="0.25">
      <c r="T32" s="1"/>
    </row>
    <row r="33" spans="20:20" x14ac:dyDescent="0.25">
      <c r="T33" s="1"/>
    </row>
    <row r="34" spans="20:20" x14ac:dyDescent="0.25">
      <c r="T34" s="1"/>
    </row>
    <row r="35" spans="20:20" x14ac:dyDescent="0.25">
      <c r="T35" s="1"/>
    </row>
    <row r="36" spans="20:20" x14ac:dyDescent="0.25">
      <c r="T36" s="1"/>
    </row>
    <row r="37" spans="20:20" x14ac:dyDescent="0.25">
      <c r="T37" s="1"/>
    </row>
    <row r="38" spans="20:20" x14ac:dyDescent="0.25">
      <c r="T38" s="1"/>
    </row>
    <row r="39" spans="20:20" x14ac:dyDescent="0.25">
      <c r="T39" s="1"/>
    </row>
    <row r="40" spans="20:20" x14ac:dyDescent="0.25">
      <c r="T40" s="1"/>
    </row>
    <row r="41" spans="20:20" x14ac:dyDescent="0.25">
      <c r="T41" s="1"/>
    </row>
    <row r="42" spans="20:20" x14ac:dyDescent="0.25">
      <c r="T42" s="1"/>
    </row>
    <row r="43" spans="20:20" x14ac:dyDescent="0.25">
      <c r="T43" s="1"/>
    </row>
    <row r="44" spans="20:20" x14ac:dyDescent="0.25">
      <c r="T44" s="1"/>
    </row>
    <row r="45" spans="20:20" x14ac:dyDescent="0.25">
      <c r="T45" s="1"/>
    </row>
    <row r="46" spans="20:20" x14ac:dyDescent="0.25">
      <c r="T46" s="1"/>
    </row>
    <row r="47" spans="20:20" x14ac:dyDescent="0.25">
      <c r="T47" s="1"/>
    </row>
    <row r="48" spans="20:20" x14ac:dyDescent="0.25">
      <c r="T48" s="1"/>
    </row>
    <row r="49" spans="20:20" x14ac:dyDescent="0.25">
      <c r="T49" s="1"/>
    </row>
    <row r="50" spans="20:20" x14ac:dyDescent="0.25">
      <c r="T50" s="1"/>
    </row>
    <row r="51" spans="20:20" x14ac:dyDescent="0.25">
      <c r="T51" s="1"/>
    </row>
    <row r="52" spans="20:20" x14ac:dyDescent="0.25">
      <c r="T52" s="1"/>
    </row>
    <row r="53" spans="20:20" x14ac:dyDescent="0.25">
      <c r="T53" s="1"/>
    </row>
    <row r="54" spans="20:20" x14ac:dyDescent="0.25">
      <c r="T54" s="1"/>
    </row>
    <row r="55" spans="20:20" x14ac:dyDescent="0.25">
      <c r="T55" s="1"/>
    </row>
    <row r="56" spans="20:20" x14ac:dyDescent="0.25">
      <c r="T56" s="1"/>
    </row>
    <row r="57" spans="20:20" x14ac:dyDescent="0.25">
      <c r="T57" s="1"/>
    </row>
    <row r="58" spans="20:20" x14ac:dyDescent="0.25">
      <c r="T58" s="1"/>
    </row>
    <row r="59" spans="20:20" x14ac:dyDescent="0.25">
      <c r="T59" s="1"/>
    </row>
    <row r="60" spans="20:20" x14ac:dyDescent="0.25">
      <c r="T60" s="1"/>
    </row>
    <row r="61" spans="20:20" x14ac:dyDescent="0.25">
      <c r="T61" s="1"/>
    </row>
    <row r="62" spans="20:20" x14ac:dyDescent="0.25">
      <c r="T62" s="1"/>
    </row>
    <row r="63" spans="20:20" x14ac:dyDescent="0.25">
      <c r="T63" s="1"/>
    </row>
    <row r="64" spans="20:20" x14ac:dyDescent="0.25">
      <c r="T64" s="1"/>
    </row>
    <row r="65" spans="20:20" x14ac:dyDescent="0.25">
      <c r="T65" s="1"/>
    </row>
    <row r="66" spans="20:20" x14ac:dyDescent="0.25">
      <c r="T66" s="1"/>
    </row>
    <row r="67" spans="20:20" x14ac:dyDescent="0.25">
      <c r="T67" s="1"/>
    </row>
    <row r="68" spans="20:20" x14ac:dyDescent="0.25">
      <c r="T68" s="1"/>
    </row>
    <row r="69" spans="20:20" x14ac:dyDescent="0.25">
      <c r="T69" s="1"/>
    </row>
    <row r="70" spans="20:20" x14ac:dyDescent="0.25">
      <c r="T70" s="1"/>
    </row>
    <row r="71" spans="20:20" x14ac:dyDescent="0.25">
      <c r="T71" s="1"/>
    </row>
    <row r="72" spans="20:20" x14ac:dyDescent="0.25">
      <c r="T72" s="1"/>
    </row>
    <row r="73" spans="20:20" x14ac:dyDescent="0.25">
      <c r="T73" s="1"/>
    </row>
    <row r="74" spans="20:20" x14ac:dyDescent="0.25">
      <c r="T74" s="1"/>
    </row>
    <row r="75" spans="20:20" x14ac:dyDescent="0.25">
      <c r="T75" s="1"/>
    </row>
    <row r="76" spans="20:20" x14ac:dyDescent="0.25">
      <c r="T76" s="1"/>
    </row>
    <row r="77" spans="20:20" x14ac:dyDescent="0.25">
      <c r="T77" s="1"/>
    </row>
    <row r="78" spans="20:20" x14ac:dyDescent="0.25">
      <c r="T78" s="1"/>
    </row>
    <row r="79" spans="20:20" x14ac:dyDescent="0.25">
      <c r="T79" s="1"/>
    </row>
    <row r="80" spans="20:20" x14ac:dyDescent="0.25">
      <c r="T80" s="1"/>
    </row>
    <row r="81" spans="20:20" x14ac:dyDescent="0.25">
      <c r="T81" s="1"/>
    </row>
    <row r="82" spans="20:20" x14ac:dyDescent="0.25">
      <c r="T82" s="1"/>
    </row>
    <row r="83" spans="20:20" x14ac:dyDescent="0.25">
      <c r="T83" s="1"/>
    </row>
    <row r="84" spans="20:20" x14ac:dyDescent="0.25">
      <c r="T84" s="1"/>
    </row>
    <row r="85" spans="20:20" x14ac:dyDescent="0.25">
      <c r="T85" s="1"/>
    </row>
    <row r="86" spans="20:20" x14ac:dyDescent="0.25">
      <c r="T86" s="1"/>
    </row>
    <row r="87" spans="20:20" x14ac:dyDescent="0.25">
      <c r="T87" s="1"/>
    </row>
    <row r="88" spans="20:20" x14ac:dyDescent="0.25">
      <c r="T88" s="1"/>
    </row>
    <row r="89" spans="20:20" x14ac:dyDescent="0.25">
      <c r="T89" s="1"/>
    </row>
    <row r="90" spans="20:20" x14ac:dyDescent="0.25">
      <c r="T90" s="1"/>
    </row>
    <row r="91" spans="20:20" x14ac:dyDescent="0.25">
      <c r="T91" s="1"/>
    </row>
    <row r="92" spans="20:20" x14ac:dyDescent="0.25">
      <c r="T92" s="1"/>
    </row>
    <row r="93" spans="20:20" x14ac:dyDescent="0.25">
      <c r="T93" s="1"/>
    </row>
    <row r="94" spans="20:20" x14ac:dyDescent="0.25">
      <c r="T94" s="1"/>
    </row>
    <row r="95" spans="20:20" x14ac:dyDescent="0.25">
      <c r="T95" s="1"/>
    </row>
    <row r="96" spans="20:20" x14ac:dyDescent="0.25">
      <c r="T96" s="1"/>
    </row>
    <row r="97" spans="20:20" x14ac:dyDescent="0.25">
      <c r="T97" s="1"/>
    </row>
    <row r="98" spans="20:20" x14ac:dyDescent="0.25">
      <c r="T98" s="1"/>
    </row>
    <row r="99" spans="20:20" x14ac:dyDescent="0.25">
      <c r="T99" s="1"/>
    </row>
    <row r="100" spans="20:20" x14ac:dyDescent="0.25">
      <c r="T100" s="1"/>
    </row>
    <row r="101" spans="20:20" x14ac:dyDescent="0.25">
      <c r="T101" s="1"/>
    </row>
    <row r="102" spans="20:20" x14ac:dyDescent="0.25">
      <c r="T102" s="1"/>
    </row>
    <row r="103" spans="20:20" x14ac:dyDescent="0.25">
      <c r="T103" s="1"/>
    </row>
    <row r="104" spans="20:20" x14ac:dyDescent="0.25">
      <c r="T104" s="1"/>
    </row>
    <row r="105" spans="20:20" x14ac:dyDescent="0.25">
      <c r="T105" s="1"/>
    </row>
    <row r="106" spans="20:20" x14ac:dyDescent="0.25">
      <c r="T106" s="1"/>
    </row>
    <row r="107" spans="20:20" x14ac:dyDescent="0.25">
      <c r="T107" s="1"/>
    </row>
    <row r="108" spans="20:20" x14ac:dyDescent="0.25">
      <c r="T108" s="1"/>
    </row>
    <row r="109" spans="20:20" x14ac:dyDescent="0.25">
      <c r="T109" s="1"/>
    </row>
    <row r="110" spans="20:20" x14ac:dyDescent="0.25">
      <c r="T110" s="1"/>
    </row>
    <row r="111" spans="20:20" x14ac:dyDescent="0.25">
      <c r="T111" s="1"/>
    </row>
    <row r="112" spans="20:20" x14ac:dyDescent="0.25">
      <c r="T112" s="1"/>
    </row>
    <row r="113" spans="20:20" x14ac:dyDescent="0.25">
      <c r="T113" s="1"/>
    </row>
    <row r="114" spans="20:20" x14ac:dyDescent="0.25">
      <c r="T114" s="1"/>
    </row>
    <row r="115" spans="20:20" x14ac:dyDescent="0.25">
      <c r="T115" s="1"/>
    </row>
    <row r="116" spans="20:20" x14ac:dyDescent="0.25">
      <c r="T116" s="1"/>
    </row>
    <row r="117" spans="20:20" x14ac:dyDescent="0.25">
      <c r="T117" s="1"/>
    </row>
    <row r="118" spans="20:20" x14ac:dyDescent="0.25">
      <c r="T118" s="1"/>
    </row>
    <row r="119" spans="20:20" x14ac:dyDescent="0.25">
      <c r="T119" s="1"/>
    </row>
    <row r="120" spans="20:20" x14ac:dyDescent="0.25">
      <c r="T120" s="1"/>
    </row>
    <row r="121" spans="20:20" x14ac:dyDescent="0.25">
      <c r="T121" s="1"/>
    </row>
    <row r="122" spans="20:20" x14ac:dyDescent="0.25">
      <c r="T122" s="1"/>
    </row>
    <row r="123" spans="20:20" x14ac:dyDescent="0.25">
      <c r="T123" s="1"/>
    </row>
    <row r="124" spans="20:20" x14ac:dyDescent="0.25">
      <c r="T124" s="1"/>
    </row>
    <row r="125" spans="20:20" x14ac:dyDescent="0.25">
      <c r="T125" s="1"/>
    </row>
    <row r="126" spans="20:20" x14ac:dyDescent="0.25">
      <c r="T126" s="1"/>
    </row>
    <row r="127" spans="20:20" x14ac:dyDescent="0.25">
      <c r="T127" s="1"/>
    </row>
    <row r="128" spans="20:20" x14ac:dyDescent="0.25">
      <c r="T128" s="1"/>
    </row>
    <row r="129" spans="20:20" x14ac:dyDescent="0.25">
      <c r="T129" s="1"/>
    </row>
    <row r="130" spans="20:20" x14ac:dyDescent="0.25">
      <c r="T130" s="1"/>
    </row>
    <row r="131" spans="20:20" x14ac:dyDescent="0.25">
      <c r="T131" s="1"/>
    </row>
    <row r="132" spans="20:20" x14ac:dyDescent="0.25">
      <c r="T132" s="1"/>
    </row>
    <row r="133" spans="20:20" x14ac:dyDescent="0.25">
      <c r="T133" s="1"/>
    </row>
    <row r="134" spans="20:20" x14ac:dyDescent="0.25">
      <c r="T134" s="1"/>
    </row>
    <row r="135" spans="20:20" x14ac:dyDescent="0.25">
      <c r="T135" s="1"/>
    </row>
    <row r="136" spans="20:20" x14ac:dyDescent="0.25">
      <c r="T136" s="1"/>
    </row>
    <row r="137" spans="20:20" x14ac:dyDescent="0.25">
      <c r="T137" s="1"/>
    </row>
    <row r="138" spans="20:20" x14ac:dyDescent="0.25">
      <c r="T138" s="1"/>
    </row>
    <row r="139" spans="20:20" x14ac:dyDescent="0.25">
      <c r="T139" s="1"/>
    </row>
    <row r="140" spans="20:20" x14ac:dyDescent="0.25">
      <c r="T140" s="1"/>
    </row>
    <row r="141" spans="20:20" x14ac:dyDescent="0.25">
      <c r="T141" s="1"/>
    </row>
    <row r="142" spans="20:20" x14ac:dyDescent="0.25">
      <c r="T142" s="1"/>
    </row>
    <row r="143" spans="20:20" x14ac:dyDescent="0.25">
      <c r="T143" s="1"/>
    </row>
    <row r="144" spans="20:20" x14ac:dyDescent="0.25">
      <c r="T144" s="1"/>
    </row>
    <row r="145" spans="20:20" x14ac:dyDescent="0.25">
      <c r="T145" s="1"/>
    </row>
    <row r="146" spans="20:20" x14ac:dyDescent="0.25">
      <c r="T146" s="1"/>
    </row>
    <row r="147" spans="20:20" x14ac:dyDescent="0.25">
      <c r="T147" s="1"/>
    </row>
    <row r="148" spans="20:20" x14ac:dyDescent="0.25">
      <c r="T148" s="1"/>
    </row>
    <row r="149" spans="20:20" x14ac:dyDescent="0.25">
      <c r="T149" s="1"/>
    </row>
    <row r="150" spans="20:20" x14ac:dyDescent="0.25">
      <c r="T150" s="1"/>
    </row>
    <row r="151" spans="20:20" x14ac:dyDescent="0.25">
      <c r="T151" s="1"/>
    </row>
    <row r="152" spans="20:20" x14ac:dyDescent="0.25">
      <c r="T152" s="1"/>
    </row>
    <row r="153" spans="20:20" x14ac:dyDescent="0.25">
      <c r="T153" s="1"/>
    </row>
    <row r="154" spans="20:20" x14ac:dyDescent="0.25">
      <c r="T154" s="1"/>
    </row>
    <row r="155" spans="20:20" x14ac:dyDescent="0.25">
      <c r="T155" s="1"/>
    </row>
    <row r="156" spans="20:20" x14ac:dyDescent="0.25">
      <c r="T156" s="1"/>
    </row>
    <row r="157" spans="20:20" x14ac:dyDescent="0.25">
      <c r="T157" s="1"/>
    </row>
    <row r="158" spans="20:20" x14ac:dyDescent="0.25">
      <c r="T158" s="1"/>
    </row>
    <row r="159" spans="20:20" x14ac:dyDescent="0.25">
      <c r="T159" s="1"/>
    </row>
    <row r="160" spans="20:20" x14ac:dyDescent="0.25">
      <c r="T160" s="1"/>
    </row>
    <row r="161" spans="2:20" x14ac:dyDescent="0.25">
      <c r="T161" s="1"/>
    </row>
    <row r="162" spans="2:20" x14ac:dyDescent="0.25">
      <c r="T162" s="1"/>
    </row>
    <row r="163" spans="2:20" x14ac:dyDescent="0.25">
      <c r="T163" s="1"/>
    </row>
    <row r="164" spans="2:20" x14ac:dyDescent="0.25">
      <c r="B164" s="2"/>
      <c r="T164" s="1"/>
    </row>
    <row r="165" spans="2:20" x14ac:dyDescent="0.25">
      <c r="B165" s="2"/>
      <c r="T165" s="1"/>
    </row>
    <row r="166" spans="2:20" x14ac:dyDescent="0.25">
      <c r="B166" s="2"/>
      <c r="T166" s="1"/>
    </row>
    <row r="167" spans="2:20" x14ac:dyDescent="0.25">
      <c r="T167" s="1"/>
    </row>
    <row r="168" spans="2:20" x14ac:dyDescent="0.25">
      <c r="T168" s="1"/>
    </row>
    <row r="169" spans="2:20" x14ac:dyDescent="0.25">
      <c r="B169" s="2"/>
      <c r="T169" s="1"/>
    </row>
    <row r="170" spans="2:20" x14ac:dyDescent="0.25">
      <c r="B170" s="2"/>
      <c r="T170" s="1"/>
    </row>
    <row r="171" spans="2:20" x14ac:dyDescent="0.25">
      <c r="B171" s="2"/>
      <c r="T171" s="1"/>
    </row>
    <row r="172" spans="2:20" x14ac:dyDescent="0.25">
      <c r="B172" s="2"/>
      <c r="T172" s="1"/>
    </row>
    <row r="173" spans="2:20" x14ac:dyDescent="0.25">
      <c r="B173" s="2"/>
      <c r="T173" s="1"/>
    </row>
    <row r="174" spans="2:20" x14ac:dyDescent="0.25">
      <c r="T174" s="1"/>
    </row>
    <row r="175" spans="2:20" x14ac:dyDescent="0.25">
      <c r="T175" s="1"/>
    </row>
    <row r="176" spans="2:20" x14ac:dyDescent="0.25">
      <c r="T176" s="1"/>
    </row>
    <row r="177" spans="2:20" x14ac:dyDescent="0.25">
      <c r="T177" s="1"/>
    </row>
    <row r="178" spans="2:20" x14ac:dyDescent="0.25">
      <c r="T178" s="1"/>
    </row>
    <row r="179" spans="2:20" x14ac:dyDescent="0.25">
      <c r="T179" s="1"/>
    </row>
    <row r="180" spans="2:20" x14ac:dyDescent="0.25">
      <c r="T180" s="1"/>
    </row>
    <row r="181" spans="2:20" x14ac:dyDescent="0.25">
      <c r="T181" s="1"/>
    </row>
    <row r="182" spans="2:20" x14ac:dyDescent="0.25">
      <c r="T182" s="1"/>
    </row>
    <row r="183" spans="2:20" x14ac:dyDescent="0.25">
      <c r="T183" s="1"/>
    </row>
    <row r="184" spans="2:20" x14ac:dyDescent="0.25">
      <c r="T184" s="1"/>
    </row>
    <row r="185" spans="2:20" x14ac:dyDescent="0.25">
      <c r="T185" s="1"/>
    </row>
    <row r="186" spans="2:20" x14ac:dyDescent="0.25">
      <c r="T186" s="1"/>
    </row>
    <row r="187" spans="2:20" x14ac:dyDescent="0.25">
      <c r="T187" s="1"/>
    </row>
    <row r="188" spans="2:20" x14ac:dyDescent="0.25">
      <c r="B188" s="2"/>
      <c r="T188" s="1"/>
    </row>
    <row r="189" spans="2:20" x14ac:dyDescent="0.25">
      <c r="B189" s="2"/>
      <c r="T189" s="1"/>
    </row>
    <row r="190" spans="2:20" x14ac:dyDescent="0.25">
      <c r="B190" s="2"/>
      <c r="T190" s="1"/>
    </row>
    <row r="191" spans="2:20" x14ac:dyDescent="0.25">
      <c r="B191" s="2"/>
      <c r="T191" s="1"/>
    </row>
    <row r="192" spans="2:20" x14ac:dyDescent="0.25">
      <c r="B192" s="2"/>
      <c r="T192" s="1"/>
    </row>
    <row r="193" spans="2:20" x14ac:dyDescent="0.25">
      <c r="B193" s="2"/>
      <c r="T193" s="1"/>
    </row>
    <row r="194" spans="2:20" x14ac:dyDescent="0.25">
      <c r="T194" s="1"/>
    </row>
    <row r="195" spans="2:20" x14ac:dyDescent="0.25">
      <c r="B195" s="2"/>
      <c r="T195" s="1"/>
    </row>
    <row r="196" spans="2:20" x14ac:dyDescent="0.25">
      <c r="B196" s="2"/>
      <c r="T196" s="1"/>
    </row>
    <row r="197" spans="2:20" x14ac:dyDescent="0.25">
      <c r="T197" s="1"/>
    </row>
    <row r="198" spans="2:20" x14ac:dyDescent="0.25">
      <c r="T198" s="1"/>
    </row>
    <row r="199" spans="2:20" x14ac:dyDescent="0.25">
      <c r="T199" s="1"/>
    </row>
    <row r="200" spans="2:20" x14ac:dyDescent="0.25">
      <c r="T200" s="1"/>
    </row>
    <row r="201" spans="2:20" x14ac:dyDescent="0.25">
      <c r="T201" s="1"/>
    </row>
    <row r="202" spans="2:20" x14ac:dyDescent="0.25">
      <c r="T202" s="1"/>
    </row>
    <row r="203" spans="2:20" x14ac:dyDescent="0.25">
      <c r="T203" s="1"/>
    </row>
    <row r="204" spans="2:20" x14ac:dyDescent="0.25">
      <c r="T204" s="1"/>
    </row>
    <row r="205" spans="2:20" x14ac:dyDescent="0.25">
      <c r="T205" s="1"/>
    </row>
    <row r="206" spans="2:20" x14ac:dyDescent="0.25">
      <c r="T206" s="1"/>
    </row>
    <row r="207" spans="2:20" x14ac:dyDescent="0.25">
      <c r="T207" s="1"/>
    </row>
    <row r="208" spans="2:20" x14ac:dyDescent="0.25">
      <c r="T208" s="1"/>
    </row>
    <row r="209" spans="20:20" x14ac:dyDescent="0.25">
      <c r="T209" s="1"/>
    </row>
    <row r="210" spans="20:20" x14ac:dyDescent="0.25">
      <c r="T210" s="1"/>
    </row>
    <row r="211" spans="20:20" x14ac:dyDescent="0.25">
      <c r="T211" s="1"/>
    </row>
    <row r="212" spans="20:20" x14ac:dyDescent="0.25">
      <c r="T212" s="1"/>
    </row>
    <row r="213" spans="20:20" x14ac:dyDescent="0.25">
      <c r="T213" s="1"/>
    </row>
    <row r="214" spans="20:20" x14ac:dyDescent="0.25">
      <c r="T214" s="1"/>
    </row>
    <row r="215" spans="20:20" x14ac:dyDescent="0.25">
      <c r="T215" s="1"/>
    </row>
    <row r="216" spans="20:20" x14ac:dyDescent="0.25">
      <c r="T216" s="1"/>
    </row>
    <row r="217" spans="20:20" x14ac:dyDescent="0.25">
      <c r="T217" s="1"/>
    </row>
    <row r="218" spans="20:20" x14ac:dyDescent="0.25">
      <c r="T218" s="1"/>
    </row>
    <row r="219" spans="20:20" x14ac:dyDescent="0.25">
      <c r="T219" s="1"/>
    </row>
    <row r="220" spans="20:20" x14ac:dyDescent="0.25">
      <c r="T220" s="1"/>
    </row>
    <row r="221" spans="20:20" x14ac:dyDescent="0.25">
      <c r="T221" s="1"/>
    </row>
    <row r="222" spans="20:20" x14ac:dyDescent="0.25">
      <c r="T222" s="1"/>
    </row>
    <row r="223" spans="20:20" x14ac:dyDescent="0.25">
      <c r="T223" s="1"/>
    </row>
    <row r="224" spans="20:20" x14ac:dyDescent="0.25">
      <c r="T224" s="1"/>
    </row>
    <row r="225" spans="20:20" x14ac:dyDescent="0.25">
      <c r="T225" s="1"/>
    </row>
    <row r="226" spans="20:20" x14ac:dyDescent="0.25">
      <c r="T226" s="1"/>
    </row>
    <row r="227" spans="20:20" x14ac:dyDescent="0.25">
      <c r="T227" s="1"/>
    </row>
    <row r="228" spans="20:20" x14ac:dyDescent="0.25">
      <c r="T228" s="1"/>
    </row>
    <row r="229" spans="20:20" x14ac:dyDescent="0.25">
      <c r="T229" s="1"/>
    </row>
    <row r="230" spans="20:20" x14ac:dyDescent="0.25">
      <c r="T230" s="1"/>
    </row>
    <row r="231" spans="20:20" x14ac:dyDescent="0.25">
      <c r="T231" s="1"/>
    </row>
    <row r="232" spans="20:20" x14ac:dyDescent="0.25">
      <c r="T232" s="1"/>
    </row>
    <row r="233" spans="20:20" x14ac:dyDescent="0.25">
      <c r="T233" s="1"/>
    </row>
    <row r="234" spans="20:20" x14ac:dyDescent="0.25">
      <c r="T234" s="1"/>
    </row>
    <row r="235" spans="20:20" x14ac:dyDescent="0.25">
      <c r="T235" s="1"/>
    </row>
    <row r="236" spans="20:20" x14ac:dyDescent="0.25">
      <c r="T236" s="1"/>
    </row>
    <row r="237" spans="20:20" x14ac:dyDescent="0.25">
      <c r="T237" s="1"/>
    </row>
    <row r="238" spans="20:20" x14ac:dyDescent="0.25">
      <c r="T238" s="1"/>
    </row>
    <row r="239" spans="20:20" x14ac:dyDescent="0.25">
      <c r="T239" s="1"/>
    </row>
    <row r="240" spans="20:20" x14ac:dyDescent="0.25">
      <c r="T240" s="1"/>
    </row>
    <row r="241" spans="20:20" x14ac:dyDescent="0.25">
      <c r="T241" s="1"/>
    </row>
    <row r="242" spans="20:20" x14ac:dyDescent="0.25">
      <c r="T242" s="1"/>
    </row>
    <row r="243" spans="20:20" x14ac:dyDescent="0.25">
      <c r="T243" s="1"/>
    </row>
    <row r="244" spans="20:20" x14ac:dyDescent="0.25">
      <c r="T244" s="1"/>
    </row>
    <row r="245" spans="20:20" x14ac:dyDescent="0.25">
      <c r="T245" s="1"/>
    </row>
    <row r="246" spans="20:20" x14ac:dyDescent="0.25">
      <c r="T246" s="1"/>
    </row>
    <row r="247" spans="20:20" x14ac:dyDescent="0.25">
      <c r="T247" s="1"/>
    </row>
    <row r="248" spans="20:20" x14ac:dyDescent="0.25">
      <c r="T248" s="1"/>
    </row>
    <row r="249" spans="20:20" x14ac:dyDescent="0.25">
      <c r="T249" s="1"/>
    </row>
    <row r="250" spans="20:20" x14ac:dyDescent="0.25">
      <c r="T250" s="1"/>
    </row>
    <row r="251" spans="20:20" x14ac:dyDescent="0.25">
      <c r="T251" s="1"/>
    </row>
    <row r="252" spans="20:20" x14ac:dyDescent="0.25">
      <c r="T252" s="1"/>
    </row>
    <row r="253" spans="20:20" x14ac:dyDescent="0.25">
      <c r="T253" s="1"/>
    </row>
    <row r="254" spans="20:20" x14ac:dyDescent="0.25">
      <c r="T254" s="1"/>
    </row>
    <row r="255" spans="20:20" x14ac:dyDescent="0.25">
      <c r="T255" s="1"/>
    </row>
    <row r="256" spans="20:20" x14ac:dyDescent="0.25">
      <c r="T256" s="1"/>
    </row>
    <row r="257" spans="2:20" x14ac:dyDescent="0.25">
      <c r="T257" s="1"/>
    </row>
    <row r="258" spans="2:20" x14ac:dyDescent="0.25">
      <c r="T258" s="1"/>
    </row>
    <row r="259" spans="2:20" x14ac:dyDescent="0.25">
      <c r="T259" s="1"/>
    </row>
    <row r="260" spans="2:20" x14ac:dyDescent="0.25">
      <c r="T260" s="1"/>
    </row>
    <row r="261" spans="2:20" x14ac:dyDescent="0.25">
      <c r="T261" s="1"/>
    </row>
    <row r="262" spans="2:20" x14ac:dyDescent="0.25">
      <c r="T262" s="1"/>
    </row>
    <row r="263" spans="2:20" x14ac:dyDescent="0.25">
      <c r="T263" s="1"/>
    </row>
    <row r="264" spans="2:20" x14ac:dyDescent="0.25">
      <c r="T264" s="1"/>
    </row>
    <row r="265" spans="2:20" x14ac:dyDescent="0.25">
      <c r="T265" s="1"/>
    </row>
    <row r="266" spans="2:20" x14ac:dyDescent="0.25">
      <c r="T266" s="1"/>
    </row>
    <row r="267" spans="2:20" x14ac:dyDescent="0.25">
      <c r="T267" s="1"/>
    </row>
    <row r="268" spans="2:20" x14ac:dyDescent="0.25">
      <c r="T268" s="1"/>
    </row>
    <row r="269" spans="2:20" x14ac:dyDescent="0.25">
      <c r="B269" s="2"/>
      <c r="T269" s="1"/>
    </row>
    <row r="270" spans="2:20" x14ac:dyDescent="0.25">
      <c r="T270" s="1"/>
    </row>
    <row r="271" spans="2:20" x14ac:dyDescent="0.25">
      <c r="T271" s="1"/>
    </row>
    <row r="272" spans="2:20" x14ac:dyDescent="0.25">
      <c r="B272" s="2"/>
      <c r="T272" s="1"/>
    </row>
    <row r="273" spans="20:20" x14ac:dyDescent="0.25">
      <c r="T273" s="1"/>
    </row>
    <row r="274" spans="20:20" x14ac:dyDescent="0.25">
      <c r="T274" s="1"/>
    </row>
    <row r="275" spans="20:20" x14ac:dyDescent="0.25">
      <c r="T275" s="1"/>
    </row>
    <row r="276" spans="20:20" x14ac:dyDescent="0.25">
      <c r="T276" s="1"/>
    </row>
    <row r="277" spans="20:20" x14ac:dyDescent="0.25">
      <c r="T277" s="1"/>
    </row>
    <row r="278" spans="20:20" x14ac:dyDescent="0.25">
      <c r="T278" s="1"/>
    </row>
    <row r="279" spans="20:20" x14ac:dyDescent="0.25">
      <c r="T279" s="1"/>
    </row>
    <row r="280" spans="20:20" x14ac:dyDescent="0.25">
      <c r="T280" s="1"/>
    </row>
    <row r="281" spans="20:20" x14ac:dyDescent="0.25">
      <c r="T281" s="1"/>
    </row>
    <row r="282" spans="20:20" x14ac:dyDescent="0.25">
      <c r="T282" s="1"/>
    </row>
    <row r="283" spans="20:20" x14ac:dyDescent="0.25">
      <c r="T283" s="1"/>
    </row>
    <row r="284" spans="20:20" x14ac:dyDescent="0.25">
      <c r="T284" s="1"/>
    </row>
    <row r="285" spans="20:20" x14ac:dyDescent="0.25">
      <c r="T285" s="1"/>
    </row>
    <row r="286" spans="20:20" x14ac:dyDescent="0.25">
      <c r="T286" s="1"/>
    </row>
    <row r="287" spans="20:20" x14ac:dyDescent="0.25">
      <c r="T287" s="1"/>
    </row>
    <row r="288" spans="20:20" x14ac:dyDescent="0.25">
      <c r="T288" s="1"/>
    </row>
    <row r="289" spans="20:20" x14ac:dyDescent="0.25">
      <c r="T289" s="1"/>
    </row>
    <row r="290" spans="20:20" x14ac:dyDescent="0.25">
      <c r="T290" s="1"/>
    </row>
    <row r="291" spans="20:20" x14ac:dyDescent="0.25">
      <c r="T291" s="1"/>
    </row>
    <row r="292" spans="20:20" x14ac:dyDescent="0.25">
      <c r="T292" s="1"/>
    </row>
    <row r="293" spans="20:20" x14ac:dyDescent="0.25">
      <c r="T293" s="1"/>
    </row>
    <row r="294" spans="20:20" x14ac:dyDescent="0.25">
      <c r="T294" s="1"/>
    </row>
    <row r="295" spans="20:20" x14ac:dyDescent="0.25">
      <c r="T295" s="1"/>
    </row>
    <row r="296" spans="20:20" x14ac:dyDescent="0.25">
      <c r="T296" s="1"/>
    </row>
    <row r="297" spans="20:20" x14ac:dyDescent="0.25">
      <c r="T297" s="1"/>
    </row>
    <row r="298" spans="20:20" x14ac:dyDescent="0.25">
      <c r="T298" s="1"/>
    </row>
    <row r="299" spans="20:20" x14ac:dyDescent="0.25">
      <c r="T299" s="1"/>
    </row>
    <row r="300" spans="20:20" x14ac:dyDescent="0.25">
      <c r="T300" s="1"/>
    </row>
    <row r="301" spans="20:20" x14ac:dyDescent="0.25">
      <c r="T301" s="1"/>
    </row>
    <row r="302" spans="20:20" x14ac:dyDescent="0.25">
      <c r="T302" s="1"/>
    </row>
    <row r="303" spans="20:20" x14ac:dyDescent="0.25">
      <c r="T303" s="1"/>
    </row>
    <row r="304" spans="20:20" x14ac:dyDescent="0.25">
      <c r="T304" s="1"/>
    </row>
    <row r="305" spans="20:20" x14ac:dyDescent="0.25">
      <c r="T305" s="1"/>
    </row>
    <row r="306" spans="20:20" x14ac:dyDescent="0.25">
      <c r="T306" s="1"/>
    </row>
    <row r="307" spans="20:20" x14ac:dyDescent="0.25">
      <c r="T307" s="1"/>
    </row>
    <row r="308" spans="20:20" x14ac:dyDescent="0.25">
      <c r="T308" s="1"/>
    </row>
    <row r="309" spans="20:20" x14ac:dyDescent="0.25">
      <c r="T309" s="1"/>
    </row>
    <row r="310" spans="20:20" x14ac:dyDescent="0.25">
      <c r="T310" s="1"/>
    </row>
    <row r="311" spans="20:20" x14ac:dyDescent="0.25">
      <c r="T311" s="1"/>
    </row>
    <row r="312" spans="20:20" x14ac:dyDescent="0.25">
      <c r="T312" s="1"/>
    </row>
    <row r="313" spans="20:20" x14ac:dyDescent="0.25">
      <c r="T313" s="1"/>
    </row>
    <row r="314" spans="20:20" x14ac:dyDescent="0.25">
      <c r="T314" s="1"/>
    </row>
    <row r="315" spans="20:20" x14ac:dyDescent="0.25">
      <c r="T315" s="1"/>
    </row>
    <row r="316" spans="20:20" x14ac:dyDescent="0.25">
      <c r="T316" s="1"/>
    </row>
    <row r="317" spans="20:20" x14ac:dyDescent="0.25">
      <c r="T317" s="1"/>
    </row>
    <row r="318" spans="20:20" x14ac:dyDescent="0.25">
      <c r="T318" s="1"/>
    </row>
    <row r="319" spans="20:20" x14ac:dyDescent="0.25">
      <c r="T319" s="1"/>
    </row>
    <row r="320" spans="20:20" x14ac:dyDescent="0.25">
      <c r="T320" s="1"/>
    </row>
    <row r="321" spans="2:20" x14ac:dyDescent="0.25">
      <c r="T321" s="1"/>
    </row>
    <row r="322" spans="2:20" x14ac:dyDescent="0.25">
      <c r="T322" s="1"/>
    </row>
    <row r="323" spans="2:20" x14ac:dyDescent="0.25">
      <c r="T323" s="1"/>
    </row>
    <row r="324" spans="2:20" x14ac:dyDescent="0.25">
      <c r="T324" s="1"/>
    </row>
    <row r="325" spans="2:20" x14ac:dyDescent="0.25">
      <c r="T325" s="1"/>
    </row>
    <row r="326" spans="2:20" x14ac:dyDescent="0.25">
      <c r="T326" s="1"/>
    </row>
    <row r="327" spans="2:20" x14ac:dyDescent="0.25">
      <c r="B327" s="2"/>
      <c r="T327" s="1"/>
    </row>
    <row r="328" spans="2:20" x14ac:dyDescent="0.25">
      <c r="T328" s="1"/>
    </row>
    <row r="329" spans="2:20" x14ac:dyDescent="0.25">
      <c r="T329" s="1"/>
    </row>
    <row r="330" spans="2:20" x14ac:dyDescent="0.25">
      <c r="B330" s="2"/>
      <c r="T330" s="1"/>
    </row>
    <row r="331" spans="2:20" x14ac:dyDescent="0.25">
      <c r="T331" s="1"/>
    </row>
    <row r="332" spans="2:20" x14ac:dyDescent="0.25">
      <c r="T332" s="1"/>
    </row>
    <row r="333" spans="2:20" x14ac:dyDescent="0.25">
      <c r="T333" s="1"/>
    </row>
    <row r="334" spans="2:20" x14ac:dyDescent="0.25">
      <c r="T334" s="1"/>
    </row>
    <row r="335" spans="2:20" x14ac:dyDescent="0.25">
      <c r="T335" s="1"/>
    </row>
    <row r="336" spans="2:20" x14ac:dyDescent="0.25">
      <c r="T336" s="1"/>
    </row>
    <row r="337" spans="20:20" x14ac:dyDescent="0.25">
      <c r="T337" s="1"/>
    </row>
    <row r="338" spans="20:20" x14ac:dyDescent="0.25">
      <c r="T338" s="1"/>
    </row>
    <row r="339" spans="20:20" x14ac:dyDescent="0.25">
      <c r="T339" s="1"/>
    </row>
    <row r="340" spans="20:20" x14ac:dyDescent="0.25">
      <c r="T340" s="1"/>
    </row>
    <row r="341" spans="20:20" x14ac:dyDescent="0.25">
      <c r="T341" s="1"/>
    </row>
    <row r="342" spans="20:20" x14ac:dyDescent="0.25">
      <c r="T342" s="1"/>
    </row>
    <row r="343" spans="20:20" x14ac:dyDescent="0.25">
      <c r="T343" s="1"/>
    </row>
    <row r="344" spans="20:20" x14ac:dyDescent="0.25">
      <c r="T344" s="1"/>
    </row>
    <row r="345" spans="20:20" x14ac:dyDescent="0.25">
      <c r="T345" s="1"/>
    </row>
    <row r="346" spans="20:20" x14ac:dyDescent="0.25">
      <c r="T346" s="1"/>
    </row>
    <row r="347" spans="20:20" x14ac:dyDescent="0.25">
      <c r="T347" s="1"/>
    </row>
    <row r="348" spans="20:20" x14ac:dyDescent="0.25">
      <c r="T348" s="1"/>
    </row>
    <row r="349" spans="20:20" x14ac:dyDescent="0.25">
      <c r="T349" s="1"/>
    </row>
    <row r="350" spans="20:20" x14ac:dyDescent="0.25">
      <c r="T350" s="1"/>
    </row>
    <row r="351" spans="20:20" x14ac:dyDescent="0.25">
      <c r="T351" s="1"/>
    </row>
    <row r="352" spans="20:20" x14ac:dyDescent="0.25">
      <c r="T352" s="1"/>
    </row>
    <row r="353" spans="20:20" x14ac:dyDescent="0.25">
      <c r="T353" s="1"/>
    </row>
    <row r="354" spans="20:20" x14ac:dyDescent="0.25">
      <c r="T354" s="1"/>
    </row>
    <row r="355" spans="20:20" x14ac:dyDescent="0.25">
      <c r="T355" s="1"/>
    </row>
    <row r="356" spans="20:20" x14ac:dyDescent="0.25">
      <c r="T356" s="1"/>
    </row>
    <row r="357" spans="20:20" x14ac:dyDescent="0.25">
      <c r="T357" s="1"/>
    </row>
    <row r="358" spans="20:20" x14ac:dyDescent="0.25">
      <c r="T358" s="1"/>
    </row>
    <row r="359" spans="20:20" x14ac:dyDescent="0.25">
      <c r="T359" s="1"/>
    </row>
    <row r="360" spans="20:20" x14ac:dyDescent="0.25">
      <c r="T360" s="1"/>
    </row>
    <row r="361" spans="20:20" x14ac:dyDescent="0.25">
      <c r="T361" s="1"/>
    </row>
    <row r="362" spans="20:20" x14ac:dyDescent="0.25">
      <c r="T362" s="1"/>
    </row>
    <row r="363" spans="20:20" x14ac:dyDescent="0.25">
      <c r="T363" s="1"/>
    </row>
    <row r="364" spans="20:20" x14ac:dyDescent="0.25">
      <c r="T364" s="1"/>
    </row>
    <row r="365" spans="20:20" x14ac:dyDescent="0.25">
      <c r="T365" s="1"/>
    </row>
    <row r="366" spans="20:20" x14ac:dyDescent="0.25">
      <c r="T366" s="1"/>
    </row>
    <row r="367" spans="20:20" x14ac:dyDescent="0.25">
      <c r="T367" s="1"/>
    </row>
    <row r="368" spans="20:20" x14ac:dyDescent="0.25">
      <c r="T368" s="1"/>
    </row>
    <row r="369" spans="2:20" x14ac:dyDescent="0.25">
      <c r="T369" s="1"/>
    </row>
    <row r="370" spans="2:20" x14ac:dyDescent="0.25">
      <c r="B370" s="2"/>
      <c r="T370" s="1"/>
    </row>
    <row r="371" spans="2:20" x14ac:dyDescent="0.25">
      <c r="T371" s="1"/>
    </row>
    <row r="372" spans="2:20" x14ac:dyDescent="0.25">
      <c r="T372" s="1"/>
    </row>
    <row r="373" spans="2:20" x14ac:dyDescent="0.25">
      <c r="T373" s="1"/>
    </row>
    <row r="374" spans="2:20" x14ac:dyDescent="0.25">
      <c r="T374" s="1"/>
    </row>
    <row r="375" spans="2:20" x14ac:dyDescent="0.25">
      <c r="T375" s="1"/>
    </row>
    <row r="376" spans="2:20" x14ac:dyDescent="0.25">
      <c r="T376" s="1"/>
    </row>
    <row r="377" spans="2:20" x14ac:dyDescent="0.25">
      <c r="T377" s="1"/>
    </row>
    <row r="378" spans="2:20" x14ac:dyDescent="0.25">
      <c r="T378" s="1"/>
    </row>
    <row r="379" spans="2:20" x14ac:dyDescent="0.25">
      <c r="T379" s="1"/>
    </row>
    <row r="380" spans="2:20" x14ac:dyDescent="0.25">
      <c r="T380" s="1"/>
    </row>
    <row r="381" spans="2:20" x14ac:dyDescent="0.25">
      <c r="T381" s="1"/>
    </row>
    <row r="382" spans="2:20" x14ac:dyDescent="0.25">
      <c r="T382" s="1"/>
    </row>
    <row r="383" spans="2:20" x14ac:dyDescent="0.25">
      <c r="T383" s="1"/>
    </row>
    <row r="384" spans="2:20" x14ac:dyDescent="0.25">
      <c r="T384" s="1"/>
    </row>
    <row r="385" spans="20:20" x14ac:dyDescent="0.25">
      <c r="T385" s="1"/>
    </row>
    <row r="386" spans="20:20" x14ac:dyDescent="0.25">
      <c r="T386" s="1"/>
    </row>
    <row r="387" spans="20:20" x14ac:dyDescent="0.25">
      <c r="T387" s="1"/>
    </row>
    <row r="388" spans="20:20" x14ac:dyDescent="0.25">
      <c r="T388" s="1"/>
    </row>
    <row r="389" spans="20:20" x14ac:dyDescent="0.25">
      <c r="T389" s="1"/>
    </row>
    <row r="390" spans="20:20" x14ac:dyDescent="0.25">
      <c r="T390" s="1"/>
    </row>
    <row r="391" spans="20:20" x14ac:dyDescent="0.25">
      <c r="T391" s="1"/>
    </row>
    <row r="392" spans="20:20" x14ac:dyDescent="0.25">
      <c r="T392" s="1"/>
    </row>
    <row r="393" spans="20:20" x14ac:dyDescent="0.25">
      <c r="T393" s="1"/>
    </row>
    <row r="394" spans="20:20" x14ac:dyDescent="0.25">
      <c r="T394" s="1"/>
    </row>
    <row r="395" spans="20:20" x14ac:dyDescent="0.25">
      <c r="T395" s="1"/>
    </row>
    <row r="396" spans="20:20" x14ac:dyDescent="0.25">
      <c r="T396" s="1"/>
    </row>
    <row r="397" spans="20:20" x14ac:dyDescent="0.25">
      <c r="T397" s="1"/>
    </row>
    <row r="398" spans="20:20" x14ac:dyDescent="0.25">
      <c r="T398" s="1"/>
    </row>
    <row r="399" spans="20:20" x14ac:dyDescent="0.25">
      <c r="T399" s="1"/>
    </row>
    <row r="400" spans="20:20" x14ac:dyDescent="0.25">
      <c r="T400" s="1"/>
    </row>
    <row r="401" spans="20:20" x14ac:dyDescent="0.25">
      <c r="T401" s="1"/>
    </row>
    <row r="402" spans="20:20" x14ac:dyDescent="0.25">
      <c r="T402" s="1"/>
    </row>
    <row r="403" spans="20:20" x14ac:dyDescent="0.25">
      <c r="T403" s="1"/>
    </row>
    <row r="404" spans="20:20" x14ac:dyDescent="0.25">
      <c r="T404" s="1"/>
    </row>
    <row r="405" spans="20:20" x14ac:dyDescent="0.25">
      <c r="T405" s="1"/>
    </row>
    <row r="406" spans="20:20" x14ac:dyDescent="0.25">
      <c r="T406" s="1"/>
    </row>
    <row r="407" spans="20:20" x14ac:dyDescent="0.25">
      <c r="T407" s="1"/>
    </row>
    <row r="408" spans="20:20" x14ac:dyDescent="0.25">
      <c r="T408" s="1"/>
    </row>
    <row r="409" spans="20:20" x14ac:dyDescent="0.25">
      <c r="T409" s="1"/>
    </row>
    <row r="410" spans="20:20" x14ac:dyDescent="0.25">
      <c r="T410" s="1"/>
    </row>
    <row r="411" spans="20:20" x14ac:dyDescent="0.25">
      <c r="T411" s="1"/>
    </row>
    <row r="412" spans="20:20" x14ac:dyDescent="0.25">
      <c r="T412" s="1"/>
    </row>
    <row r="413" spans="20:20" x14ac:dyDescent="0.25">
      <c r="T413" s="1"/>
    </row>
    <row r="414" spans="20:20" x14ac:dyDescent="0.25">
      <c r="T414" s="1"/>
    </row>
    <row r="415" spans="20:20" x14ac:dyDescent="0.25">
      <c r="T415" s="1"/>
    </row>
    <row r="416" spans="20:20" x14ac:dyDescent="0.25">
      <c r="T416" s="1"/>
    </row>
    <row r="417" spans="2:20" x14ac:dyDescent="0.25">
      <c r="T417" s="1"/>
    </row>
    <row r="418" spans="2:20" x14ac:dyDescent="0.25">
      <c r="T418" s="1"/>
    </row>
    <row r="419" spans="2:20" x14ac:dyDescent="0.25">
      <c r="T419" s="1"/>
    </row>
    <row r="420" spans="2:20" x14ac:dyDescent="0.25">
      <c r="T420" s="1"/>
    </row>
    <row r="421" spans="2:20" x14ac:dyDescent="0.25">
      <c r="T421" s="1"/>
    </row>
    <row r="422" spans="2:20" x14ac:dyDescent="0.25">
      <c r="T422" s="1"/>
    </row>
    <row r="423" spans="2:20" x14ac:dyDescent="0.25">
      <c r="B423" s="2"/>
      <c r="T423" s="1"/>
    </row>
    <row r="424" spans="2:20" x14ac:dyDescent="0.25">
      <c r="B424" s="2"/>
      <c r="T424" s="1"/>
    </row>
    <row r="425" spans="2:20" x14ac:dyDescent="0.25">
      <c r="T425" s="1"/>
    </row>
    <row r="426" spans="2:20" x14ac:dyDescent="0.25">
      <c r="T426" s="1"/>
    </row>
    <row r="427" spans="2:20" x14ac:dyDescent="0.25">
      <c r="T427" s="1"/>
    </row>
    <row r="428" spans="2:20" x14ac:dyDescent="0.25">
      <c r="T428" s="1"/>
    </row>
    <row r="429" spans="2:20" x14ac:dyDescent="0.25">
      <c r="T429" s="1"/>
    </row>
    <row r="430" spans="2:20" x14ac:dyDescent="0.25">
      <c r="T430" s="1"/>
    </row>
    <row r="431" spans="2:20" x14ac:dyDescent="0.25">
      <c r="T431" s="1"/>
    </row>
    <row r="432" spans="2:20" x14ac:dyDescent="0.25">
      <c r="T432" s="1"/>
    </row>
    <row r="433" spans="20:20" x14ac:dyDescent="0.25">
      <c r="T433" s="1"/>
    </row>
    <row r="434" spans="20:20" x14ac:dyDescent="0.25">
      <c r="T434" s="1"/>
    </row>
    <row r="435" spans="20:20" x14ac:dyDescent="0.25">
      <c r="T435" s="1"/>
    </row>
    <row r="436" spans="20:20" x14ac:dyDescent="0.25">
      <c r="T436" s="1"/>
    </row>
    <row r="437" spans="20:20" x14ac:dyDescent="0.25">
      <c r="T437" s="1"/>
    </row>
    <row r="438" spans="20:20" x14ac:dyDescent="0.25">
      <c r="T438" s="1"/>
    </row>
    <row r="439" spans="20:20" x14ac:dyDescent="0.25">
      <c r="T439" s="1"/>
    </row>
    <row r="440" spans="20:20" x14ac:dyDescent="0.25">
      <c r="T440" s="1"/>
    </row>
    <row r="441" spans="20:20" x14ac:dyDescent="0.25">
      <c r="T441" s="1"/>
    </row>
    <row r="442" spans="20:20" x14ac:dyDescent="0.25">
      <c r="T442" s="1"/>
    </row>
    <row r="443" spans="20:20" x14ac:dyDescent="0.25">
      <c r="T443" s="1"/>
    </row>
    <row r="444" spans="20:20" x14ac:dyDescent="0.25">
      <c r="T444" s="1"/>
    </row>
    <row r="445" spans="20:20" x14ac:dyDescent="0.25">
      <c r="T445" s="1"/>
    </row>
    <row r="446" spans="20:20" x14ac:dyDescent="0.25">
      <c r="T446" s="1"/>
    </row>
    <row r="447" spans="20:20" x14ac:dyDescent="0.25">
      <c r="T447" s="1"/>
    </row>
    <row r="448" spans="20:20" x14ac:dyDescent="0.25">
      <c r="T448" s="1"/>
    </row>
    <row r="449" spans="2:20" x14ac:dyDescent="0.25">
      <c r="T449" s="1"/>
    </row>
    <row r="450" spans="2:20" x14ac:dyDescent="0.25">
      <c r="T450" s="1"/>
    </row>
    <row r="451" spans="2:20" x14ac:dyDescent="0.25">
      <c r="T451" s="1"/>
    </row>
    <row r="452" spans="2:20" x14ac:dyDescent="0.25">
      <c r="B452" s="2"/>
      <c r="T452" s="1"/>
    </row>
    <row r="453" spans="2:20" x14ac:dyDescent="0.25">
      <c r="B453" s="2"/>
      <c r="T453" s="1"/>
    </row>
    <row r="454" spans="2:20" x14ac:dyDescent="0.25">
      <c r="B454" s="2"/>
      <c r="T454" s="1"/>
    </row>
    <row r="455" spans="2:20" x14ac:dyDescent="0.25">
      <c r="B455" s="2"/>
      <c r="T455" s="1"/>
    </row>
    <row r="456" spans="2:20" x14ac:dyDescent="0.25">
      <c r="T456" s="1"/>
    </row>
    <row r="457" spans="2:20" x14ac:dyDescent="0.25">
      <c r="T457" s="1"/>
    </row>
    <row r="458" spans="2:20" x14ac:dyDescent="0.25">
      <c r="T458" s="1"/>
    </row>
    <row r="459" spans="2:20" x14ac:dyDescent="0.25">
      <c r="T459" s="1"/>
    </row>
    <row r="460" spans="2:20" x14ac:dyDescent="0.25">
      <c r="T460" s="1"/>
    </row>
    <row r="461" spans="2:20" x14ac:dyDescent="0.25">
      <c r="T461" s="1"/>
    </row>
    <row r="462" spans="2:20" x14ac:dyDescent="0.25">
      <c r="T462" s="1"/>
    </row>
    <row r="463" spans="2:20" x14ac:dyDescent="0.25">
      <c r="T463" s="1"/>
    </row>
    <row r="464" spans="2:20" x14ac:dyDescent="0.25">
      <c r="T464" s="1"/>
    </row>
    <row r="465" spans="20:20" x14ac:dyDescent="0.25">
      <c r="T465" s="1"/>
    </row>
    <row r="466" spans="20:20" x14ac:dyDescent="0.25">
      <c r="T466" s="1"/>
    </row>
    <row r="467" spans="20:20" x14ac:dyDescent="0.25">
      <c r="T467" s="1"/>
    </row>
    <row r="468" spans="20:20" x14ac:dyDescent="0.25">
      <c r="T468" s="1"/>
    </row>
    <row r="469" spans="20:20" x14ac:dyDescent="0.25">
      <c r="T469" s="1"/>
    </row>
    <row r="470" spans="20:20" x14ac:dyDescent="0.25">
      <c r="T470" s="1"/>
    </row>
    <row r="471" spans="20:20" x14ac:dyDescent="0.25">
      <c r="T471" s="1"/>
    </row>
    <row r="472" spans="20:20" x14ac:dyDescent="0.25">
      <c r="T472" s="1"/>
    </row>
    <row r="473" spans="20:20" x14ac:dyDescent="0.25">
      <c r="T473" s="1"/>
    </row>
    <row r="474" spans="20:20" x14ac:dyDescent="0.25">
      <c r="T474" s="1"/>
    </row>
  </sheetData>
  <pageMargins left="0.7" right="0.7" top="0.78740157499999996" bottom="0.78740157499999996"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Load Crossout Items">
              <controlPr defaultSize="0" print="0" autoFill="0" autoPict="0" macro="[0]!GetCrossoutDBItems" altText="Load Crossout DB Items">
                <anchor moveWithCells="1" sizeWithCells="1">
                  <from>
                    <xdr:col>1</xdr:col>
                    <xdr:colOff>85725</xdr:colOff>
                    <xdr:row>1</xdr:row>
                    <xdr:rowOff>47625</xdr:rowOff>
                  </from>
                  <to>
                    <xdr:col>2</xdr:col>
                    <xdr:colOff>9525</xdr:colOff>
                    <xdr:row>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AA4"/>
  <sheetViews>
    <sheetView workbookViewId="0">
      <selection activeCell="C7" sqref="C7"/>
    </sheetView>
  </sheetViews>
  <sheetFormatPr baseColWidth="10" defaultRowHeight="15" x14ac:dyDescent="0.25"/>
  <cols>
    <col min="3" max="3" width="16.85546875" customWidth="1"/>
    <col min="4" max="4" width="18.140625" customWidth="1"/>
    <col min="7" max="7" width="13.42578125" customWidth="1"/>
    <col min="8" max="8" width="15" customWidth="1"/>
    <col min="9" max="9" width="15.5703125" customWidth="1"/>
    <col min="10" max="10" width="16.85546875" customWidth="1"/>
  </cols>
  <sheetData>
    <row r="1" spans="1:27" x14ac:dyDescent="0.25">
      <c r="A1" t="s">
        <v>1273</v>
      </c>
      <c r="B1">
        <v>106</v>
      </c>
      <c r="C1">
        <v>53</v>
      </c>
      <c r="D1">
        <v>57</v>
      </c>
      <c r="E1">
        <v>85</v>
      </c>
      <c r="F1">
        <v>221</v>
      </c>
      <c r="G1">
        <v>43</v>
      </c>
      <c r="H1">
        <v>118</v>
      </c>
      <c r="I1">
        <v>201</v>
      </c>
      <c r="J1">
        <v>168</v>
      </c>
    </row>
    <row r="2" spans="1:27" x14ac:dyDescent="0.25">
      <c r="A2" t="s">
        <v>1274</v>
      </c>
      <c r="B2" t="str">
        <f>IFERROR(VLOOKUP(B1,CrossoutDBItems!1:1048576,2), "")</f>
        <v>Fuel x100</v>
      </c>
      <c r="C2" t="str">
        <f>IFERROR(VLOOKUP(C1,CrossoutDBItems!1:1048576,2), "")</f>
        <v>Scrap Metal x100</v>
      </c>
      <c r="D2" t="str">
        <f>IFERROR(VLOOKUP(D1,CrossoutDBItems!1:1048576,2), "")</f>
        <v>Scrap Metal x1000</v>
      </c>
      <c r="E2" t="str">
        <f>IFERROR(VLOOKUP(E1,CrossoutDBItems!1:1048576,2), "")</f>
        <v>Wires x100</v>
      </c>
      <c r="F2" t="str">
        <f>IFERROR(VLOOKUP(F1,CrossoutDBItems!1:1048576,2), "")</f>
        <v>Wires x1000</v>
      </c>
      <c r="G2" t="str">
        <f>IFERROR(VLOOKUP(G1,CrossoutDBItems!1:1048576,2), "")</f>
        <v>Copper x100</v>
      </c>
      <c r="H2" t="str">
        <f>IFERROR(VLOOKUP(H1,CrossoutDBItems!1:1048576,2), "")</f>
        <v>Copper x1000</v>
      </c>
      <c r="I2" t="str">
        <f>IFERROR(VLOOKUP(I1,CrossoutDBItems!1:1048576,2), "")</f>
        <v>Electronics x10</v>
      </c>
      <c r="J2" t="str">
        <f>IFERROR(VLOOKUP(J1,CrossoutDBItems!1:1048576,2), "")</f>
        <v>Electronics x100</v>
      </c>
      <c r="K2" t="str">
        <f>IFERROR(VLOOKUP(K1,CrossoutDBItems!1:1048576,2), "")</f>
        <v/>
      </c>
      <c r="L2" t="str">
        <f>IFERROR(VLOOKUP(L1,CrossoutDBItems!1:1048576,2), "")</f>
        <v/>
      </c>
      <c r="M2" t="str">
        <f>IFERROR(VLOOKUP(M1,CrossoutDBItems!1:1048576,2), "")</f>
        <v/>
      </c>
      <c r="N2" t="str">
        <f>IFERROR(VLOOKUP(N1,CrossoutDBItems!1:1048576,2), "")</f>
        <v/>
      </c>
      <c r="O2" t="str">
        <f>IFERROR(VLOOKUP(O1,CrossoutDBItems!1:1048576,2), "")</f>
        <v/>
      </c>
      <c r="P2" t="str">
        <f>IFERROR(VLOOKUP(P1,CrossoutDBItems!1:1048576,2), "")</f>
        <v/>
      </c>
      <c r="Q2" t="str">
        <f>IFERROR(VLOOKUP(Q1,CrossoutDBItems!1:1048576,2), "")</f>
        <v/>
      </c>
      <c r="R2" t="str">
        <f>IFERROR(VLOOKUP(R1,CrossoutDBItems!1:1048576,2), "")</f>
        <v/>
      </c>
      <c r="S2" t="str">
        <f>IFERROR(VLOOKUP(S1,CrossoutDBItems!1:1048576,2), "")</f>
        <v/>
      </c>
      <c r="T2" t="str">
        <f>IFERROR(VLOOKUP(T1,CrossoutDBItems!1:1048576,2), "")</f>
        <v/>
      </c>
      <c r="U2" t="str">
        <f>IFERROR(VLOOKUP(U1,CrossoutDBItems!1:1048576,2), "")</f>
        <v/>
      </c>
      <c r="V2" t="str">
        <f>IFERROR(VLOOKUP(V1,CrossoutDBItems!1:1048576,2), "")</f>
        <v/>
      </c>
      <c r="W2" t="str">
        <f>IFERROR(VLOOKUP(W1,CrossoutDBItems!1:1048576,2), "")</f>
        <v/>
      </c>
      <c r="X2" t="str">
        <f>IFERROR(VLOOKUP(X1,CrossoutDBItems!1:1048576,2), "")</f>
        <v/>
      </c>
      <c r="Y2" t="str">
        <f>IFERROR(VLOOKUP(Y1,CrossoutDBItems!1:1048576,2), "")</f>
        <v/>
      </c>
      <c r="Z2" t="str">
        <f>IFERROR(VLOOKUP(Z1,CrossoutDBItems!1:1048576,2), "")</f>
        <v/>
      </c>
      <c r="AA2" t="str">
        <f>IFERROR(VLOOKUP(AA1,CrossoutDBItems!1:1048576,2), "")</f>
        <v/>
      </c>
    </row>
    <row r="3" spans="1:27" x14ac:dyDescent="0.25">
      <c r="A3" t="s">
        <v>1275</v>
      </c>
      <c r="B3">
        <f>IFERROR(VLOOKUP(B1,CrossoutDBItems!1:1048576,30),"")</f>
        <v>5.4</v>
      </c>
      <c r="C3">
        <f>IFERROR(VLOOKUP(C1,CrossoutDBItems!1:1048576,30),"")</f>
        <v>3.91</v>
      </c>
      <c r="D3">
        <f>IFERROR(VLOOKUP(D1,CrossoutDBItems!1:1048576,30),"")</f>
        <v>39.21</v>
      </c>
      <c r="E3">
        <f>IFERROR(VLOOKUP(E1,CrossoutDBItems!1:1048576,30),"")</f>
        <v>6.55</v>
      </c>
      <c r="F3">
        <f>IFERROR(VLOOKUP(F1,CrossoutDBItems!1:1048576,30),"")</f>
        <v>67.72</v>
      </c>
      <c r="G3">
        <f>IFERROR(VLOOKUP(G1,CrossoutDBItems!1:1048576,30),"")</f>
        <v>1.55</v>
      </c>
      <c r="H3">
        <f>IFERROR(VLOOKUP(H1,CrossoutDBItems!1:1048576,30),"")</f>
        <v>15.5</v>
      </c>
      <c r="I3">
        <f>IFERROR(VLOOKUP(I1,CrossoutDBItems!1:1048576,30),"")</f>
        <v>3.78</v>
      </c>
      <c r="J3">
        <f>IFERROR(VLOOKUP(J1,CrossoutDBItems!1:1048576,30),"")</f>
        <v>38.090000000000003</v>
      </c>
      <c r="K3" t="str">
        <f>IFERROR(VLOOKUP(K1,CrossoutDBItems!1:1048576,30),"")</f>
        <v/>
      </c>
      <c r="L3" t="str">
        <f>IFERROR(VLOOKUP(L1,CrossoutDBItems!1:1048576,30),"")</f>
        <v/>
      </c>
      <c r="M3" t="str">
        <f>IFERROR(VLOOKUP(M1,CrossoutDBItems!1:1048576,30),"")</f>
        <v/>
      </c>
      <c r="N3" t="str">
        <f>IFERROR(VLOOKUP(N1,CrossoutDBItems!1:1048576,30),"")</f>
        <v/>
      </c>
      <c r="O3" t="str">
        <f>IFERROR(VLOOKUP(O1,CrossoutDBItems!1:1048576,30),"")</f>
        <v/>
      </c>
      <c r="P3" t="str">
        <f>IFERROR(VLOOKUP(P1,CrossoutDBItems!1:1048576,30),"")</f>
        <v/>
      </c>
      <c r="Q3" t="str">
        <f>IFERROR(VLOOKUP(Q1,CrossoutDBItems!1:1048576,30),"")</f>
        <v/>
      </c>
      <c r="R3" t="str">
        <f>IFERROR(VLOOKUP(R1,CrossoutDBItems!1:1048576,30),"")</f>
        <v/>
      </c>
      <c r="S3" t="str">
        <f>IFERROR(VLOOKUP(S1,CrossoutDBItems!1:1048576,30),"")</f>
        <v/>
      </c>
      <c r="T3" t="str">
        <f>IFERROR(VLOOKUP(T1,CrossoutDBItems!1:1048576,30),"")</f>
        <v/>
      </c>
      <c r="U3" t="str">
        <f>IFERROR(VLOOKUP(U1,CrossoutDBItems!1:1048576,30),"")</f>
        <v/>
      </c>
      <c r="V3" t="str">
        <f>IFERROR(VLOOKUP(V1,CrossoutDBItems!1:1048576,30),"")</f>
        <v/>
      </c>
      <c r="W3" t="str">
        <f>IFERROR(VLOOKUP(W1,CrossoutDBItems!1:1048576,30),"")</f>
        <v/>
      </c>
      <c r="X3" t="str">
        <f>IFERROR(VLOOKUP(X1,CrossoutDBItems!1:1048576,30),"")</f>
        <v/>
      </c>
      <c r="Y3" t="str">
        <f>IFERROR(VLOOKUP(Y1,CrossoutDBItems!1:1048576,30),"")</f>
        <v/>
      </c>
      <c r="Z3" t="str">
        <f>IFERROR(VLOOKUP(Z1,CrossoutDBItems!1:1048576,30),"")</f>
        <v/>
      </c>
      <c r="AA3" t="str">
        <f>IFERROR(VLOOKUP(AA1,CrossoutDBItems!1:1048576,30),"")</f>
        <v/>
      </c>
    </row>
    <row r="4" spans="1:27" x14ac:dyDescent="0.25">
      <c r="A4" t="s">
        <v>1276</v>
      </c>
      <c r="B4">
        <f>IFERROR(VLOOKUP(B1,CrossoutDBItems!1:1048576,31),"")</f>
        <v>5.85</v>
      </c>
      <c r="C4">
        <f>IFERROR(VLOOKUP(C1,CrossoutDBItems!1:1048576,31),"")</f>
        <v>3.92</v>
      </c>
      <c r="D4">
        <f>IFERROR(VLOOKUP(D1,CrossoutDBItems!1:1048576,31),"")</f>
        <v>39.909999999999997</v>
      </c>
      <c r="E4">
        <f>IFERROR(VLOOKUP(E1,CrossoutDBItems!1:1048576,31),"")</f>
        <v>6.69</v>
      </c>
      <c r="F4">
        <f>IFERROR(VLOOKUP(F1,CrossoutDBItems!1:1048576,31),"")</f>
        <v>68.7</v>
      </c>
      <c r="G4">
        <f>IFERROR(VLOOKUP(G1,CrossoutDBItems!1:1048576,31),"")</f>
        <v>1.7</v>
      </c>
      <c r="H4">
        <f>IFERROR(VLOOKUP(H1,CrossoutDBItems!1:1048576,31),"")</f>
        <v>15.56</v>
      </c>
      <c r="I4">
        <f>IFERROR(VLOOKUP(I1,CrossoutDBItems!1:1048576,31),"")</f>
        <v>3.79</v>
      </c>
      <c r="J4">
        <f>IFERROR(VLOOKUP(J1,CrossoutDBItems!1:1048576,31),"")</f>
        <v>38.67</v>
      </c>
      <c r="K4" t="str">
        <f>IFERROR(VLOOKUP(K1,CrossoutDBItems!1:1048576,31),"")</f>
        <v/>
      </c>
      <c r="L4" t="str">
        <f>IFERROR(VLOOKUP(L1,CrossoutDBItems!1:1048576,31),"")</f>
        <v/>
      </c>
      <c r="M4" t="str">
        <f>IFERROR(VLOOKUP(M1,CrossoutDBItems!1:1048576,31),"")</f>
        <v/>
      </c>
      <c r="N4" t="str">
        <f>IFERROR(VLOOKUP(N1,CrossoutDBItems!1:1048576,31),"")</f>
        <v/>
      </c>
      <c r="O4" t="str">
        <f>IFERROR(VLOOKUP(O1,CrossoutDBItems!1:1048576,31),"")</f>
        <v/>
      </c>
      <c r="P4" t="str">
        <f>IFERROR(VLOOKUP(P1,CrossoutDBItems!1:1048576,31),"")</f>
        <v/>
      </c>
      <c r="Q4" t="str">
        <f>IFERROR(VLOOKUP(Q1,CrossoutDBItems!1:1048576,31),"")</f>
        <v/>
      </c>
      <c r="R4" t="str">
        <f>IFERROR(VLOOKUP(R1,CrossoutDBItems!1:1048576,31),"")</f>
        <v/>
      </c>
      <c r="S4" t="str">
        <f>IFERROR(VLOOKUP(S1,CrossoutDBItems!1:1048576,31),"")</f>
        <v/>
      </c>
      <c r="T4" t="str">
        <f>IFERROR(VLOOKUP(T1,CrossoutDBItems!1:1048576,31),"")</f>
        <v/>
      </c>
      <c r="U4" t="str">
        <f>IFERROR(VLOOKUP(U1,CrossoutDBItems!1:1048576,31),"")</f>
        <v/>
      </c>
      <c r="V4" t="str">
        <f>IFERROR(VLOOKUP(V1,CrossoutDBItems!1:1048576,31),"")</f>
        <v/>
      </c>
      <c r="W4" t="str">
        <f>IFERROR(VLOOKUP(W1,CrossoutDBItems!1:1048576,31),"")</f>
        <v/>
      </c>
      <c r="X4" t="str">
        <f>IFERROR(VLOOKUP(X1,CrossoutDBItems!1:1048576,31),"")</f>
        <v/>
      </c>
      <c r="Y4" t="str">
        <f>IFERROR(VLOOKUP(Y1,CrossoutDBItems!1:1048576,31),"")</f>
        <v/>
      </c>
      <c r="Z4" t="str">
        <f>IFERROR(VLOOKUP(Z1,CrossoutDBItems!1:1048576,31),"")</f>
        <v/>
      </c>
      <c r="AA4" t="str">
        <f>IFERROR(VLOOKUP(AA1,CrossoutDBItems!1:1048576,31),"")</f>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AI488"/>
  <sheetViews>
    <sheetView workbookViewId="0">
      <pane ySplit="1" topLeftCell="A456" activePane="bottomLeft" state="frozenSplit"/>
      <selection pane="bottomLeft" activeCell="AJ486" sqref="AJ486"/>
    </sheetView>
  </sheetViews>
  <sheetFormatPr baseColWidth="10" defaultRowHeight="15" x14ac:dyDescent="0.25"/>
  <cols>
    <col min="1" max="1" width="4" bestFit="1" customWidth="1"/>
    <col min="2" max="2" width="29.42578125" bestFit="1" customWidth="1"/>
    <col min="3" max="3" width="255.7109375" bestFit="1" customWidth="1"/>
    <col min="4" max="4" width="9.7109375" bestFit="1" customWidth="1"/>
    <col min="5" max="5" width="8.5703125" bestFit="1" customWidth="1"/>
    <col min="6" max="6" width="10.28515625" bestFit="1" customWidth="1"/>
    <col min="7" max="7" width="8.7109375" bestFit="1" customWidth="1"/>
    <col min="8" max="8" width="9" bestFit="1" customWidth="1"/>
    <col min="9" max="9" width="10.140625" bestFit="1" customWidth="1"/>
    <col min="10" max="10" width="16.140625" bestFit="1" customWidth="1"/>
    <col min="11" max="12" width="14.85546875" bestFit="1" customWidth="1"/>
    <col min="13" max="13" width="7.85546875" bestFit="1" customWidth="1"/>
    <col min="14" max="14" width="9" bestFit="1" customWidth="1"/>
    <col min="15" max="15" width="13.85546875" bestFit="1" customWidth="1"/>
    <col min="16" max="16" width="13.140625" bestFit="1" customWidth="1"/>
    <col min="17" max="17" width="20.28515625" bestFit="1" customWidth="1"/>
    <col min="18" max="18" width="10.42578125" bestFit="1" customWidth="1"/>
    <col min="19" max="19" width="18.7109375" bestFit="1" customWidth="1"/>
    <col min="20" max="20" width="15.140625" bestFit="1" customWidth="1"/>
    <col min="21" max="21" width="7.42578125" bestFit="1" customWidth="1"/>
    <col min="22" max="22" width="11" bestFit="1" customWidth="1"/>
    <col min="23" max="23" width="10.28515625" bestFit="1" customWidth="1"/>
    <col min="24" max="24" width="13.85546875" bestFit="1" customWidth="1"/>
    <col min="25" max="25" width="6.7109375" bestFit="1" customWidth="1"/>
    <col min="26" max="26" width="8.28515625" bestFit="1" customWidth="1"/>
    <col min="27" max="27" width="20.5703125" bestFit="1" customWidth="1"/>
    <col min="28" max="28" width="14.42578125" bestFit="1" customWidth="1"/>
    <col min="29" max="29" width="15.28515625" bestFit="1" customWidth="1"/>
    <col min="30" max="31" width="14.7109375" bestFit="1" customWidth="1"/>
    <col min="32" max="33" width="21.42578125" bestFit="1" customWidth="1"/>
    <col min="34" max="34" width="7.85546875" bestFit="1" customWidth="1"/>
    <col min="35" max="35" width="11" bestFit="1" customWidth="1"/>
    <col min="36" max="36" width="8.28515625" bestFit="1" customWidth="1"/>
    <col min="37" max="37" width="4" bestFit="1" customWidth="1"/>
    <col min="38" max="41" width="7.5703125" bestFit="1" customWidth="1"/>
    <col min="42" max="42" width="4.42578125" bestFit="1" customWidth="1"/>
    <col min="43" max="43" width="2.7109375" bestFit="1" customWidth="1"/>
    <col min="44" max="44" width="4" bestFit="1" customWidth="1"/>
    <col min="45" max="45" width="7.5703125" bestFit="1" customWidth="1"/>
    <col min="46" max="46" width="25.140625" bestFit="1" customWidth="1"/>
  </cols>
  <sheetData>
    <row r="1" spans="1:35"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row>
    <row r="2" spans="1:35" x14ac:dyDescent="0.25">
      <c r="A2">
        <v>1</v>
      </c>
      <c r="B2" t="s">
        <v>35</v>
      </c>
      <c r="C2" t="s">
        <v>36</v>
      </c>
      <c r="D2">
        <v>59</v>
      </c>
      <c r="E2">
        <v>28700</v>
      </c>
      <c r="F2">
        <v>30</v>
      </c>
      <c r="G2">
        <v>26000</v>
      </c>
      <c r="H2">
        <v>0</v>
      </c>
      <c r="I2">
        <v>36</v>
      </c>
      <c r="J2">
        <v>0</v>
      </c>
      <c r="K2">
        <v>28890</v>
      </c>
      <c r="L2">
        <v>27100</v>
      </c>
      <c r="M2">
        <v>1</v>
      </c>
      <c r="N2">
        <v>-170</v>
      </c>
      <c r="O2">
        <v>-1270</v>
      </c>
      <c r="P2">
        <v>-1.7</v>
      </c>
      <c r="Q2">
        <v>-12.7</v>
      </c>
      <c r="R2" t="s">
        <v>59</v>
      </c>
      <c r="S2" t="s">
        <v>1277</v>
      </c>
      <c r="T2" s="1">
        <v>43397.621562499997</v>
      </c>
      <c r="U2">
        <v>3</v>
      </c>
      <c r="V2" t="s">
        <v>38</v>
      </c>
      <c r="W2">
        <v>2</v>
      </c>
      <c r="X2" t="s">
        <v>39</v>
      </c>
      <c r="Y2">
        <v>26</v>
      </c>
      <c r="Z2">
        <v>67</v>
      </c>
      <c r="AA2" t="s">
        <v>40</v>
      </c>
      <c r="AB2">
        <v>2</v>
      </c>
      <c r="AC2" t="s">
        <v>41</v>
      </c>
      <c r="AD2">
        <v>260</v>
      </c>
      <c r="AE2">
        <v>287</v>
      </c>
      <c r="AF2">
        <v>288.89999999999998</v>
      </c>
      <c r="AG2">
        <v>271</v>
      </c>
      <c r="AH2" t="s">
        <v>42</v>
      </c>
    </row>
    <row r="3" spans="1:35" x14ac:dyDescent="0.25">
      <c r="A3">
        <v>2</v>
      </c>
      <c r="B3" t="s">
        <v>51</v>
      </c>
      <c r="C3" t="s">
        <v>52</v>
      </c>
      <c r="D3">
        <v>64</v>
      </c>
      <c r="E3">
        <v>2969</v>
      </c>
      <c r="F3">
        <v>42</v>
      </c>
      <c r="G3">
        <v>2910</v>
      </c>
      <c r="H3">
        <v>0</v>
      </c>
      <c r="I3">
        <v>103</v>
      </c>
      <c r="J3">
        <v>0</v>
      </c>
      <c r="K3">
        <v>3067</v>
      </c>
      <c r="L3">
        <v>2947</v>
      </c>
      <c r="M3">
        <v>1</v>
      </c>
      <c r="N3">
        <v>-237.9</v>
      </c>
      <c r="O3">
        <v>-274.89999999999998</v>
      </c>
      <c r="P3">
        <v>-2.38</v>
      </c>
      <c r="Q3">
        <v>-2.75</v>
      </c>
      <c r="R3" t="s">
        <v>59</v>
      </c>
      <c r="S3" t="s">
        <v>1277</v>
      </c>
      <c r="T3" s="1">
        <v>43397.621562499997</v>
      </c>
      <c r="U3">
        <v>2</v>
      </c>
      <c r="V3" t="s">
        <v>47</v>
      </c>
      <c r="W3">
        <v>2</v>
      </c>
      <c r="X3" t="s">
        <v>39</v>
      </c>
      <c r="Y3">
        <v>26</v>
      </c>
      <c r="Z3">
        <v>34</v>
      </c>
      <c r="AA3" t="s">
        <v>40</v>
      </c>
      <c r="AB3">
        <v>2</v>
      </c>
      <c r="AC3" t="s">
        <v>41</v>
      </c>
      <c r="AD3">
        <v>29.1</v>
      </c>
      <c r="AE3">
        <v>29.69</v>
      </c>
      <c r="AF3">
        <v>30.67</v>
      </c>
      <c r="AG3">
        <v>29.47</v>
      </c>
      <c r="AH3" t="s">
        <v>53</v>
      </c>
    </row>
    <row r="4" spans="1:35" x14ac:dyDescent="0.25">
      <c r="A4">
        <v>3</v>
      </c>
      <c r="B4" t="s">
        <v>54</v>
      </c>
      <c r="C4" t="s">
        <v>36</v>
      </c>
      <c r="D4">
        <v>28</v>
      </c>
      <c r="E4">
        <v>205000</v>
      </c>
      <c r="F4">
        <v>11</v>
      </c>
      <c r="G4">
        <v>198000</v>
      </c>
      <c r="H4">
        <v>0</v>
      </c>
      <c r="I4">
        <v>40</v>
      </c>
      <c r="J4">
        <v>0</v>
      </c>
      <c r="K4">
        <v>186502</v>
      </c>
      <c r="L4">
        <v>175004</v>
      </c>
      <c r="M4">
        <v>1</v>
      </c>
      <c r="N4">
        <v>-13500</v>
      </c>
      <c r="O4">
        <v>9496</v>
      </c>
      <c r="P4">
        <v>-135</v>
      </c>
      <c r="Q4">
        <v>94.96</v>
      </c>
      <c r="R4" t="s">
        <v>37</v>
      </c>
      <c r="S4" t="s">
        <v>1277</v>
      </c>
      <c r="T4" s="1">
        <v>43397.621562499997</v>
      </c>
      <c r="U4">
        <v>4</v>
      </c>
      <c r="V4" t="s">
        <v>55</v>
      </c>
      <c r="W4">
        <v>2</v>
      </c>
      <c r="X4" t="s">
        <v>39</v>
      </c>
      <c r="Y4">
        <v>26</v>
      </c>
      <c r="Z4">
        <v>81</v>
      </c>
      <c r="AA4" t="s">
        <v>40</v>
      </c>
      <c r="AB4">
        <v>2</v>
      </c>
      <c r="AC4" t="s">
        <v>41</v>
      </c>
      <c r="AD4">
        <v>1980</v>
      </c>
      <c r="AE4">
        <v>2050</v>
      </c>
      <c r="AF4">
        <v>1865.02</v>
      </c>
      <c r="AG4">
        <v>1750.04</v>
      </c>
      <c r="AH4" t="s">
        <v>56</v>
      </c>
    </row>
    <row r="5" spans="1:35" x14ac:dyDescent="0.25">
      <c r="A5">
        <v>4</v>
      </c>
      <c r="B5" t="s">
        <v>57</v>
      </c>
      <c r="C5" t="s">
        <v>58</v>
      </c>
      <c r="D5">
        <v>140</v>
      </c>
      <c r="E5">
        <v>2222</v>
      </c>
      <c r="F5">
        <v>50</v>
      </c>
      <c r="G5">
        <v>1954</v>
      </c>
      <c r="H5">
        <v>0</v>
      </c>
      <c r="I5">
        <v>121</v>
      </c>
      <c r="J5">
        <v>0</v>
      </c>
      <c r="K5">
        <v>2869</v>
      </c>
      <c r="L5">
        <v>2787</v>
      </c>
      <c r="M5">
        <v>1</v>
      </c>
      <c r="N5">
        <v>45.8</v>
      </c>
      <c r="O5">
        <v>-787.2</v>
      </c>
      <c r="P5">
        <v>0.46</v>
      </c>
      <c r="Q5">
        <v>-7.87</v>
      </c>
      <c r="R5" t="s">
        <v>59</v>
      </c>
      <c r="S5" t="s">
        <v>1277</v>
      </c>
      <c r="T5" s="1">
        <v>43397.621562499997</v>
      </c>
      <c r="U5">
        <v>2</v>
      </c>
      <c r="V5" t="s">
        <v>47</v>
      </c>
      <c r="W5">
        <v>2</v>
      </c>
      <c r="X5" t="s">
        <v>39</v>
      </c>
      <c r="Y5">
        <v>26</v>
      </c>
      <c r="Z5">
        <v>22</v>
      </c>
      <c r="AA5" t="s">
        <v>40</v>
      </c>
      <c r="AB5">
        <v>1</v>
      </c>
      <c r="AC5" t="s">
        <v>60</v>
      </c>
      <c r="AD5">
        <v>19.54</v>
      </c>
      <c r="AE5">
        <v>22.22</v>
      </c>
      <c r="AF5">
        <v>28.69</v>
      </c>
      <c r="AG5">
        <v>27.87</v>
      </c>
      <c r="AH5" t="s">
        <v>61</v>
      </c>
    </row>
    <row r="6" spans="1:35" x14ac:dyDescent="0.25">
      <c r="A6">
        <v>5</v>
      </c>
      <c r="B6" t="s">
        <v>62</v>
      </c>
      <c r="C6" t="s">
        <v>36</v>
      </c>
      <c r="D6">
        <v>507</v>
      </c>
      <c r="E6">
        <v>100</v>
      </c>
      <c r="F6">
        <v>325</v>
      </c>
      <c r="G6">
        <v>89</v>
      </c>
      <c r="H6">
        <v>0</v>
      </c>
      <c r="I6">
        <v>181</v>
      </c>
      <c r="J6">
        <v>0</v>
      </c>
      <c r="K6">
        <v>196</v>
      </c>
      <c r="L6">
        <v>196</v>
      </c>
      <c r="M6">
        <v>1</v>
      </c>
      <c r="N6">
        <v>1</v>
      </c>
      <c r="O6">
        <v>-106</v>
      </c>
      <c r="P6">
        <v>0.01</v>
      </c>
      <c r="Q6">
        <v>-1.06</v>
      </c>
      <c r="R6" t="s">
        <v>59</v>
      </c>
      <c r="S6" t="s">
        <v>1277</v>
      </c>
      <c r="T6" s="1">
        <v>43397.621562499997</v>
      </c>
      <c r="U6">
        <v>1</v>
      </c>
      <c r="V6" t="s">
        <v>44</v>
      </c>
      <c r="W6">
        <v>2</v>
      </c>
      <c r="X6" t="s">
        <v>39</v>
      </c>
      <c r="Y6">
        <v>26</v>
      </c>
      <c r="Z6">
        <v>45</v>
      </c>
      <c r="AA6" t="s">
        <v>40</v>
      </c>
      <c r="AB6">
        <v>1</v>
      </c>
      <c r="AC6" t="s">
        <v>60</v>
      </c>
      <c r="AD6">
        <v>0.89</v>
      </c>
      <c r="AE6">
        <v>1</v>
      </c>
      <c r="AF6">
        <v>1.96</v>
      </c>
      <c r="AG6">
        <v>1.96</v>
      </c>
      <c r="AH6" t="s">
        <v>63</v>
      </c>
    </row>
    <row r="7" spans="1:35" x14ac:dyDescent="0.25">
      <c r="A7">
        <v>6</v>
      </c>
      <c r="B7" t="s">
        <v>64</v>
      </c>
      <c r="C7" t="s">
        <v>65</v>
      </c>
      <c r="D7">
        <v>108</v>
      </c>
      <c r="E7">
        <v>31500</v>
      </c>
      <c r="F7">
        <v>18</v>
      </c>
      <c r="G7">
        <v>28916</v>
      </c>
      <c r="H7">
        <v>0</v>
      </c>
      <c r="I7">
        <v>13</v>
      </c>
      <c r="J7">
        <v>0</v>
      </c>
      <c r="K7">
        <v>29482</v>
      </c>
      <c r="L7">
        <v>27848</v>
      </c>
      <c r="M7">
        <v>1</v>
      </c>
      <c r="N7">
        <v>-566</v>
      </c>
      <c r="O7">
        <v>502</v>
      </c>
      <c r="P7">
        <v>-5.66</v>
      </c>
      <c r="Q7">
        <v>5.0199999999999996</v>
      </c>
      <c r="R7" t="s">
        <v>37</v>
      </c>
      <c r="S7" t="s">
        <v>1277</v>
      </c>
      <c r="T7" s="1">
        <v>43397.621562499997</v>
      </c>
      <c r="U7">
        <v>3</v>
      </c>
      <c r="V7" t="s">
        <v>38</v>
      </c>
      <c r="W7">
        <v>2</v>
      </c>
      <c r="X7" t="s">
        <v>39</v>
      </c>
      <c r="Y7">
        <v>16</v>
      </c>
      <c r="Z7">
        <v>55</v>
      </c>
      <c r="AA7" t="s">
        <v>66</v>
      </c>
      <c r="AB7">
        <v>4</v>
      </c>
      <c r="AC7" t="s">
        <v>67</v>
      </c>
      <c r="AD7">
        <v>289.16000000000003</v>
      </c>
      <c r="AE7">
        <v>315</v>
      </c>
      <c r="AF7">
        <v>294.82</v>
      </c>
      <c r="AG7">
        <v>278.48</v>
      </c>
      <c r="AH7" t="s">
        <v>68</v>
      </c>
    </row>
    <row r="8" spans="1:35" x14ac:dyDescent="0.25">
      <c r="A8">
        <v>7</v>
      </c>
      <c r="B8" t="s">
        <v>69</v>
      </c>
      <c r="C8" t="s">
        <v>70</v>
      </c>
      <c r="D8">
        <v>134</v>
      </c>
      <c r="E8">
        <v>3199</v>
      </c>
      <c r="F8">
        <v>99</v>
      </c>
      <c r="G8">
        <v>3197</v>
      </c>
      <c r="H8">
        <v>0</v>
      </c>
      <c r="I8">
        <v>29</v>
      </c>
      <c r="J8">
        <v>0</v>
      </c>
      <c r="K8">
        <v>2900</v>
      </c>
      <c r="L8">
        <v>2785</v>
      </c>
      <c r="M8">
        <v>1</v>
      </c>
      <c r="N8">
        <v>-317.89999999999998</v>
      </c>
      <c r="O8">
        <v>94.1</v>
      </c>
      <c r="P8">
        <v>-3.18</v>
      </c>
      <c r="Q8">
        <v>0.94</v>
      </c>
      <c r="R8" t="s">
        <v>37</v>
      </c>
      <c r="S8" t="s">
        <v>1277</v>
      </c>
      <c r="T8" s="1">
        <v>43397.621562499997</v>
      </c>
      <c r="U8">
        <v>2</v>
      </c>
      <c r="V8" t="s">
        <v>47</v>
      </c>
      <c r="W8">
        <v>2</v>
      </c>
      <c r="X8" t="s">
        <v>39</v>
      </c>
      <c r="Y8">
        <v>18</v>
      </c>
      <c r="Z8">
        <v>35</v>
      </c>
      <c r="AA8" t="s">
        <v>71</v>
      </c>
      <c r="AB8">
        <v>3</v>
      </c>
      <c r="AC8" t="s">
        <v>72</v>
      </c>
      <c r="AD8">
        <v>31.97</v>
      </c>
      <c r="AE8">
        <v>31.99</v>
      </c>
      <c r="AF8">
        <v>29</v>
      </c>
      <c r="AG8">
        <v>27.85</v>
      </c>
      <c r="AH8" t="s">
        <v>73</v>
      </c>
    </row>
    <row r="9" spans="1:35" x14ac:dyDescent="0.25">
      <c r="A9">
        <v>8</v>
      </c>
      <c r="B9" t="s">
        <v>74</v>
      </c>
      <c r="C9" t="s">
        <v>75</v>
      </c>
      <c r="D9">
        <v>55</v>
      </c>
      <c r="E9">
        <v>28419</v>
      </c>
      <c r="F9">
        <v>46</v>
      </c>
      <c r="G9">
        <v>24605</v>
      </c>
      <c r="H9">
        <v>0</v>
      </c>
      <c r="I9">
        <v>26</v>
      </c>
      <c r="J9">
        <v>0</v>
      </c>
      <c r="K9">
        <v>29980</v>
      </c>
      <c r="L9">
        <v>27656</v>
      </c>
      <c r="M9">
        <v>1</v>
      </c>
      <c r="N9">
        <v>972.1</v>
      </c>
      <c r="O9">
        <v>-2078.9</v>
      </c>
      <c r="P9">
        <v>9.7200000000000006</v>
      </c>
      <c r="Q9">
        <v>-20.79</v>
      </c>
      <c r="R9" t="s">
        <v>59</v>
      </c>
      <c r="S9" t="s">
        <v>1277</v>
      </c>
      <c r="T9" s="1">
        <v>43397.621562499997</v>
      </c>
      <c r="U9">
        <v>3</v>
      </c>
      <c r="V9" t="s">
        <v>38</v>
      </c>
      <c r="W9">
        <v>2</v>
      </c>
      <c r="X9" t="s">
        <v>39</v>
      </c>
      <c r="Y9">
        <v>31</v>
      </c>
      <c r="Z9">
        <v>53</v>
      </c>
      <c r="AA9" t="s">
        <v>76</v>
      </c>
      <c r="AB9">
        <v>4</v>
      </c>
      <c r="AC9" t="s">
        <v>67</v>
      </c>
      <c r="AD9">
        <v>246.05</v>
      </c>
      <c r="AE9">
        <v>284.19</v>
      </c>
      <c r="AF9">
        <v>299.8</v>
      </c>
      <c r="AG9">
        <v>276.56</v>
      </c>
      <c r="AH9" t="s">
        <v>77</v>
      </c>
    </row>
    <row r="10" spans="1:35" x14ac:dyDescent="0.25">
      <c r="A10">
        <v>30</v>
      </c>
      <c r="B10" t="s">
        <v>78</v>
      </c>
      <c r="C10" t="s">
        <v>79</v>
      </c>
      <c r="D10">
        <v>61</v>
      </c>
      <c r="E10">
        <v>30595</v>
      </c>
      <c r="F10">
        <v>22</v>
      </c>
      <c r="G10">
        <v>28700</v>
      </c>
      <c r="H10">
        <v>0</v>
      </c>
      <c r="I10">
        <v>20</v>
      </c>
      <c r="J10">
        <v>0</v>
      </c>
      <c r="K10">
        <v>28978</v>
      </c>
      <c r="L10">
        <v>26804</v>
      </c>
      <c r="M10">
        <v>1</v>
      </c>
      <c r="N10">
        <v>-1164.5</v>
      </c>
      <c r="O10">
        <v>731.5</v>
      </c>
      <c r="P10">
        <v>-11.65</v>
      </c>
      <c r="Q10">
        <v>7.32</v>
      </c>
      <c r="R10" t="s">
        <v>37</v>
      </c>
      <c r="S10" t="s">
        <v>1277</v>
      </c>
      <c r="T10" s="1">
        <v>43397.621562499997</v>
      </c>
      <c r="U10">
        <v>3</v>
      </c>
      <c r="V10" t="s">
        <v>38</v>
      </c>
      <c r="W10">
        <v>2</v>
      </c>
      <c r="X10" t="s">
        <v>39</v>
      </c>
      <c r="Y10">
        <v>15</v>
      </c>
      <c r="Z10">
        <v>54</v>
      </c>
      <c r="AA10" t="s">
        <v>80</v>
      </c>
      <c r="AB10">
        <v>4</v>
      </c>
      <c r="AC10" t="s">
        <v>67</v>
      </c>
      <c r="AD10">
        <v>287</v>
      </c>
      <c r="AE10">
        <v>305.95</v>
      </c>
      <c r="AF10">
        <v>289.77999999999997</v>
      </c>
      <c r="AG10">
        <v>268.04000000000002</v>
      </c>
      <c r="AH10" t="s">
        <v>81</v>
      </c>
    </row>
    <row r="11" spans="1:35" x14ac:dyDescent="0.25">
      <c r="A11">
        <v>31</v>
      </c>
      <c r="B11" t="s">
        <v>82</v>
      </c>
      <c r="C11" t="s">
        <v>83</v>
      </c>
      <c r="D11">
        <v>66</v>
      </c>
      <c r="E11">
        <v>31300</v>
      </c>
      <c r="F11">
        <v>26</v>
      </c>
      <c r="G11">
        <v>29203</v>
      </c>
      <c r="H11">
        <v>0</v>
      </c>
      <c r="I11">
        <v>4</v>
      </c>
      <c r="J11">
        <v>0</v>
      </c>
      <c r="K11">
        <v>28794</v>
      </c>
      <c r="L11">
        <v>27602</v>
      </c>
      <c r="M11">
        <v>1</v>
      </c>
      <c r="N11">
        <v>-1033</v>
      </c>
      <c r="O11">
        <v>568</v>
      </c>
      <c r="P11">
        <v>-10.33</v>
      </c>
      <c r="Q11">
        <v>5.68</v>
      </c>
      <c r="R11" t="s">
        <v>37</v>
      </c>
      <c r="S11" t="s">
        <v>1277</v>
      </c>
      <c r="T11" s="1">
        <v>43397.621562499997</v>
      </c>
      <c r="U11">
        <v>3</v>
      </c>
      <c r="V11" t="s">
        <v>38</v>
      </c>
      <c r="W11">
        <v>2</v>
      </c>
      <c r="X11" t="s">
        <v>39</v>
      </c>
      <c r="Y11">
        <v>36</v>
      </c>
      <c r="Z11">
        <v>61</v>
      </c>
      <c r="AA11" t="s">
        <v>84</v>
      </c>
      <c r="AB11">
        <v>3</v>
      </c>
      <c r="AC11" t="s">
        <v>72</v>
      </c>
      <c r="AD11">
        <v>292.02999999999997</v>
      </c>
      <c r="AE11">
        <v>313</v>
      </c>
      <c r="AF11">
        <v>287.94</v>
      </c>
      <c r="AG11">
        <v>276.02</v>
      </c>
      <c r="AH11" t="s">
        <v>85</v>
      </c>
    </row>
    <row r="12" spans="1:35" x14ac:dyDescent="0.25">
      <c r="A12">
        <v>32</v>
      </c>
      <c r="B12" t="s">
        <v>86</v>
      </c>
      <c r="C12" t="s">
        <v>87</v>
      </c>
      <c r="D12">
        <v>79</v>
      </c>
      <c r="E12">
        <v>31989</v>
      </c>
      <c r="F12">
        <v>47</v>
      </c>
      <c r="G12">
        <v>28830</v>
      </c>
      <c r="H12">
        <v>0</v>
      </c>
      <c r="I12">
        <v>22</v>
      </c>
      <c r="J12">
        <v>0</v>
      </c>
      <c r="K12">
        <v>29770</v>
      </c>
      <c r="L12">
        <v>27746</v>
      </c>
      <c r="M12">
        <v>1</v>
      </c>
      <c r="N12">
        <v>-39.9</v>
      </c>
      <c r="O12">
        <v>1044.0999999999999</v>
      </c>
      <c r="P12">
        <v>-0.4</v>
      </c>
      <c r="Q12">
        <v>10.44</v>
      </c>
      <c r="R12" t="s">
        <v>37</v>
      </c>
      <c r="S12" t="s">
        <v>1277</v>
      </c>
      <c r="T12" s="1">
        <v>43397.621562499997</v>
      </c>
      <c r="U12">
        <v>3</v>
      </c>
      <c r="V12" t="s">
        <v>38</v>
      </c>
      <c r="W12">
        <v>2</v>
      </c>
      <c r="X12" t="s">
        <v>39</v>
      </c>
      <c r="Y12">
        <v>3</v>
      </c>
      <c r="Z12">
        <v>62</v>
      </c>
      <c r="AA12" t="s">
        <v>88</v>
      </c>
      <c r="AB12">
        <v>3</v>
      </c>
      <c r="AC12" t="s">
        <v>72</v>
      </c>
      <c r="AD12">
        <v>288.3</v>
      </c>
      <c r="AE12">
        <v>319.89</v>
      </c>
      <c r="AF12">
        <v>297.7</v>
      </c>
      <c r="AG12">
        <v>277.45999999999998</v>
      </c>
      <c r="AH12" t="s">
        <v>89</v>
      </c>
    </row>
    <row r="13" spans="1:35" x14ac:dyDescent="0.25">
      <c r="A13">
        <v>33</v>
      </c>
      <c r="B13" t="s">
        <v>90</v>
      </c>
      <c r="C13" t="s">
        <v>91</v>
      </c>
      <c r="D13">
        <v>29</v>
      </c>
      <c r="E13">
        <v>197400</v>
      </c>
      <c r="F13">
        <v>41</v>
      </c>
      <c r="G13">
        <v>183000</v>
      </c>
      <c r="H13">
        <v>0</v>
      </c>
      <c r="I13">
        <v>8</v>
      </c>
      <c r="J13">
        <v>0</v>
      </c>
      <c r="K13">
        <v>203032</v>
      </c>
      <c r="L13">
        <v>186917</v>
      </c>
      <c r="M13">
        <v>1</v>
      </c>
      <c r="N13">
        <v>-5340</v>
      </c>
      <c r="O13">
        <v>-9257</v>
      </c>
      <c r="P13">
        <v>-53.4</v>
      </c>
      <c r="Q13">
        <v>-92.57</v>
      </c>
      <c r="R13" t="s">
        <v>59</v>
      </c>
      <c r="S13" t="s">
        <v>1277</v>
      </c>
      <c r="T13" s="1">
        <v>43397.621562499997</v>
      </c>
      <c r="U13">
        <v>4</v>
      </c>
      <c r="V13" t="s">
        <v>55</v>
      </c>
      <c r="W13">
        <v>2</v>
      </c>
      <c r="X13" t="s">
        <v>39</v>
      </c>
      <c r="Y13">
        <v>36</v>
      </c>
      <c r="Z13">
        <v>79</v>
      </c>
      <c r="AA13" t="s">
        <v>84</v>
      </c>
      <c r="AB13">
        <v>3</v>
      </c>
      <c r="AC13" t="s">
        <v>72</v>
      </c>
      <c r="AD13">
        <v>1830</v>
      </c>
      <c r="AE13">
        <v>1974</v>
      </c>
      <c r="AF13">
        <v>2030.32</v>
      </c>
      <c r="AG13">
        <v>1869.17</v>
      </c>
      <c r="AH13" t="s">
        <v>92</v>
      </c>
    </row>
    <row r="14" spans="1:35" x14ac:dyDescent="0.25">
      <c r="A14">
        <v>34</v>
      </c>
      <c r="B14" t="s">
        <v>93</v>
      </c>
      <c r="C14" t="s">
        <v>87</v>
      </c>
      <c r="D14">
        <v>256</v>
      </c>
      <c r="E14">
        <v>2222</v>
      </c>
      <c r="F14">
        <v>88</v>
      </c>
      <c r="G14">
        <v>2150</v>
      </c>
      <c r="H14">
        <v>0</v>
      </c>
      <c r="I14">
        <v>32</v>
      </c>
      <c r="J14">
        <v>0</v>
      </c>
      <c r="K14">
        <v>3008</v>
      </c>
      <c r="L14">
        <v>2861</v>
      </c>
      <c r="M14">
        <v>1</v>
      </c>
      <c r="N14">
        <v>-150.19999999999999</v>
      </c>
      <c r="O14">
        <v>-861.2</v>
      </c>
      <c r="P14">
        <v>-1.5</v>
      </c>
      <c r="Q14">
        <v>-8.61</v>
      </c>
      <c r="R14" t="s">
        <v>59</v>
      </c>
      <c r="S14" t="s">
        <v>1277</v>
      </c>
      <c r="T14" s="1">
        <v>43397.621562499997</v>
      </c>
      <c r="U14">
        <v>2</v>
      </c>
      <c r="V14" t="s">
        <v>47</v>
      </c>
      <c r="W14">
        <v>2</v>
      </c>
      <c r="X14" t="s">
        <v>39</v>
      </c>
      <c r="Y14">
        <v>3</v>
      </c>
      <c r="Z14">
        <v>11</v>
      </c>
      <c r="AA14" t="s">
        <v>88</v>
      </c>
      <c r="AB14">
        <v>1</v>
      </c>
      <c r="AC14" t="s">
        <v>60</v>
      </c>
      <c r="AD14">
        <v>21.5</v>
      </c>
      <c r="AE14">
        <v>22.22</v>
      </c>
      <c r="AF14">
        <v>30.08</v>
      </c>
      <c r="AG14">
        <v>28.61</v>
      </c>
      <c r="AH14" t="s">
        <v>94</v>
      </c>
    </row>
    <row r="15" spans="1:35" x14ac:dyDescent="0.25">
      <c r="A15">
        <v>38</v>
      </c>
      <c r="B15" t="s">
        <v>95</v>
      </c>
      <c r="C15" t="s">
        <v>96</v>
      </c>
      <c r="D15">
        <v>123</v>
      </c>
      <c r="E15">
        <v>27219</v>
      </c>
      <c r="F15">
        <v>38</v>
      </c>
      <c r="G15">
        <v>24289</v>
      </c>
      <c r="H15">
        <v>0</v>
      </c>
      <c r="I15">
        <v>10</v>
      </c>
      <c r="J15">
        <v>0</v>
      </c>
      <c r="K15">
        <v>29162</v>
      </c>
      <c r="L15">
        <v>26916</v>
      </c>
      <c r="M15">
        <v>1</v>
      </c>
      <c r="N15">
        <v>208.1</v>
      </c>
      <c r="O15">
        <v>-2418.9</v>
      </c>
      <c r="P15">
        <v>2.08</v>
      </c>
      <c r="Q15">
        <v>-24.19</v>
      </c>
      <c r="R15" t="s">
        <v>59</v>
      </c>
      <c r="S15" t="s">
        <v>1277</v>
      </c>
      <c r="T15" s="1">
        <v>43397.621562499997</v>
      </c>
      <c r="U15">
        <v>3</v>
      </c>
      <c r="V15" t="s">
        <v>38</v>
      </c>
      <c r="W15">
        <v>2</v>
      </c>
      <c r="X15" t="s">
        <v>39</v>
      </c>
      <c r="Y15">
        <v>32</v>
      </c>
      <c r="Z15">
        <v>68</v>
      </c>
      <c r="AA15" t="s">
        <v>97</v>
      </c>
      <c r="AB15">
        <v>2</v>
      </c>
      <c r="AC15" t="s">
        <v>41</v>
      </c>
      <c r="AD15">
        <v>242.89</v>
      </c>
      <c r="AE15">
        <v>272.19</v>
      </c>
      <c r="AF15">
        <v>291.62</v>
      </c>
      <c r="AG15">
        <v>269.16000000000003</v>
      </c>
      <c r="AH15" t="s">
        <v>98</v>
      </c>
    </row>
    <row r="16" spans="1:35" x14ac:dyDescent="0.25">
      <c r="A16">
        <v>39</v>
      </c>
      <c r="B16" t="s">
        <v>99</v>
      </c>
      <c r="C16" t="s">
        <v>100</v>
      </c>
      <c r="D16">
        <v>36</v>
      </c>
      <c r="E16">
        <v>3080</v>
      </c>
      <c r="F16">
        <v>42</v>
      </c>
      <c r="G16">
        <v>2605</v>
      </c>
      <c r="H16">
        <v>0</v>
      </c>
      <c r="I16">
        <v>146</v>
      </c>
      <c r="J16">
        <v>0</v>
      </c>
      <c r="K16">
        <v>3090</v>
      </c>
      <c r="L16">
        <v>2944</v>
      </c>
      <c r="M16">
        <v>1</v>
      </c>
      <c r="N16">
        <v>167</v>
      </c>
      <c r="O16">
        <v>-172</v>
      </c>
      <c r="P16">
        <v>1.67</v>
      </c>
      <c r="Q16">
        <v>-1.72</v>
      </c>
      <c r="R16" t="s">
        <v>59</v>
      </c>
      <c r="S16" t="s">
        <v>1277</v>
      </c>
      <c r="T16" s="1">
        <v>43397.621562499997</v>
      </c>
      <c r="U16">
        <v>2</v>
      </c>
      <c r="V16" t="s">
        <v>47</v>
      </c>
      <c r="W16">
        <v>1</v>
      </c>
      <c r="X16" t="s">
        <v>101</v>
      </c>
      <c r="Y16">
        <v>56</v>
      </c>
      <c r="Z16">
        <v>4</v>
      </c>
      <c r="AA16" t="s">
        <v>102</v>
      </c>
      <c r="AB16">
        <v>4</v>
      </c>
      <c r="AC16" t="s">
        <v>67</v>
      </c>
      <c r="AD16">
        <v>26.05</v>
      </c>
      <c r="AE16">
        <v>30.8</v>
      </c>
      <c r="AF16">
        <v>30.9</v>
      </c>
      <c r="AG16">
        <v>29.44</v>
      </c>
      <c r="AH16" t="s">
        <v>103</v>
      </c>
    </row>
    <row r="17" spans="1:35" x14ac:dyDescent="0.25">
      <c r="A17">
        <v>40</v>
      </c>
      <c r="B17" t="s">
        <v>104</v>
      </c>
      <c r="C17" t="s">
        <v>105</v>
      </c>
      <c r="D17">
        <v>86</v>
      </c>
      <c r="E17">
        <v>31940</v>
      </c>
      <c r="F17">
        <v>45</v>
      </c>
      <c r="G17">
        <v>30500</v>
      </c>
      <c r="H17">
        <v>0</v>
      </c>
      <c r="I17">
        <v>7</v>
      </c>
      <c r="J17">
        <v>0</v>
      </c>
      <c r="K17">
        <v>29222</v>
      </c>
      <c r="L17">
        <v>28280</v>
      </c>
      <c r="M17">
        <v>1</v>
      </c>
      <c r="N17">
        <v>-1754</v>
      </c>
      <c r="O17">
        <v>466</v>
      </c>
      <c r="P17">
        <v>-17.54</v>
      </c>
      <c r="Q17">
        <v>4.66</v>
      </c>
      <c r="R17" t="s">
        <v>37</v>
      </c>
      <c r="S17" t="s">
        <v>1277</v>
      </c>
      <c r="T17" s="1">
        <v>43397.621562499997</v>
      </c>
      <c r="U17">
        <v>3</v>
      </c>
      <c r="V17" t="s">
        <v>38</v>
      </c>
      <c r="W17">
        <v>2</v>
      </c>
      <c r="X17" t="s">
        <v>39</v>
      </c>
      <c r="Y17">
        <v>18</v>
      </c>
      <c r="Z17">
        <v>60</v>
      </c>
      <c r="AA17" t="s">
        <v>71</v>
      </c>
      <c r="AB17">
        <v>3</v>
      </c>
      <c r="AC17" t="s">
        <v>72</v>
      </c>
      <c r="AD17">
        <v>305</v>
      </c>
      <c r="AE17">
        <v>319.39999999999998</v>
      </c>
      <c r="AF17">
        <v>292.22000000000003</v>
      </c>
      <c r="AG17">
        <v>282.8</v>
      </c>
      <c r="AH17" t="s">
        <v>106</v>
      </c>
    </row>
    <row r="18" spans="1:35" x14ac:dyDescent="0.25">
      <c r="A18">
        <v>41</v>
      </c>
      <c r="B18" t="s">
        <v>107</v>
      </c>
      <c r="C18" t="s">
        <v>108</v>
      </c>
      <c r="D18">
        <v>29</v>
      </c>
      <c r="E18">
        <v>3373</v>
      </c>
      <c r="F18">
        <v>24</v>
      </c>
      <c r="G18">
        <v>3100</v>
      </c>
      <c r="H18">
        <v>0</v>
      </c>
      <c r="I18">
        <v>65</v>
      </c>
      <c r="J18">
        <v>0</v>
      </c>
      <c r="K18">
        <v>3011</v>
      </c>
      <c r="L18">
        <v>2887</v>
      </c>
      <c r="M18">
        <v>1</v>
      </c>
      <c r="N18">
        <v>-64.3</v>
      </c>
      <c r="O18">
        <v>148.69999999999999</v>
      </c>
      <c r="P18">
        <v>-0.64</v>
      </c>
      <c r="Q18">
        <v>1.49</v>
      </c>
      <c r="R18" t="s">
        <v>37</v>
      </c>
      <c r="S18" t="s">
        <v>1277</v>
      </c>
      <c r="T18" s="1">
        <v>43397.621562499997</v>
      </c>
      <c r="U18">
        <v>2</v>
      </c>
      <c r="V18" t="s">
        <v>47</v>
      </c>
      <c r="W18">
        <v>3</v>
      </c>
      <c r="X18" t="s">
        <v>109</v>
      </c>
      <c r="Y18">
        <v>14</v>
      </c>
      <c r="Z18">
        <v>7</v>
      </c>
      <c r="AA18" t="s">
        <v>110</v>
      </c>
      <c r="AB18">
        <v>4</v>
      </c>
      <c r="AC18" t="s">
        <v>67</v>
      </c>
      <c r="AD18">
        <v>31</v>
      </c>
      <c r="AE18">
        <v>33.729999999999997</v>
      </c>
      <c r="AF18">
        <v>30.11</v>
      </c>
      <c r="AG18">
        <v>28.87</v>
      </c>
      <c r="AH18" t="s">
        <v>111</v>
      </c>
    </row>
    <row r="19" spans="1:35" x14ac:dyDescent="0.25">
      <c r="A19">
        <v>42</v>
      </c>
      <c r="B19" t="s">
        <v>112</v>
      </c>
      <c r="C19" t="s">
        <v>113</v>
      </c>
      <c r="D19">
        <v>44</v>
      </c>
      <c r="E19">
        <v>32790</v>
      </c>
      <c r="F19">
        <v>32</v>
      </c>
      <c r="G19">
        <v>31100</v>
      </c>
      <c r="H19">
        <v>0</v>
      </c>
      <c r="I19">
        <v>17</v>
      </c>
      <c r="J19">
        <v>0</v>
      </c>
      <c r="K19">
        <v>29900</v>
      </c>
      <c r="L19">
        <v>27484</v>
      </c>
      <c r="M19">
        <v>1</v>
      </c>
      <c r="N19">
        <v>-1589</v>
      </c>
      <c r="O19">
        <v>2027</v>
      </c>
      <c r="P19">
        <v>-15.89</v>
      </c>
      <c r="Q19">
        <v>20.27</v>
      </c>
      <c r="R19" t="s">
        <v>37</v>
      </c>
      <c r="S19" t="s">
        <v>1277</v>
      </c>
      <c r="T19" s="1">
        <v>43397.621562499997</v>
      </c>
      <c r="U19">
        <v>3</v>
      </c>
      <c r="V19" t="s">
        <v>38</v>
      </c>
      <c r="W19">
        <v>4</v>
      </c>
      <c r="X19" t="s">
        <v>114</v>
      </c>
      <c r="Y19">
        <v>29</v>
      </c>
      <c r="Z19">
        <v>10</v>
      </c>
      <c r="AA19" t="s">
        <v>115</v>
      </c>
      <c r="AB19">
        <v>4</v>
      </c>
      <c r="AC19" t="s">
        <v>67</v>
      </c>
      <c r="AD19">
        <v>311</v>
      </c>
      <c r="AE19">
        <v>327.9</v>
      </c>
      <c r="AF19">
        <v>299</v>
      </c>
      <c r="AG19">
        <v>274.83999999999997</v>
      </c>
      <c r="AH19" t="s">
        <v>116</v>
      </c>
    </row>
    <row r="20" spans="1:35" x14ac:dyDescent="0.25">
      <c r="A20">
        <v>43</v>
      </c>
      <c r="B20" t="s">
        <v>117</v>
      </c>
      <c r="C20" t="s">
        <v>43</v>
      </c>
      <c r="D20">
        <v>1390</v>
      </c>
      <c r="E20">
        <v>170</v>
      </c>
      <c r="F20">
        <v>500</v>
      </c>
      <c r="G20">
        <v>155</v>
      </c>
      <c r="H20">
        <v>0</v>
      </c>
      <c r="I20">
        <v>97</v>
      </c>
      <c r="J20">
        <v>0</v>
      </c>
      <c r="K20">
        <v>0</v>
      </c>
      <c r="L20">
        <v>0</v>
      </c>
      <c r="M20">
        <v>100</v>
      </c>
      <c r="N20">
        <v>-2</v>
      </c>
      <c r="O20">
        <v>153</v>
      </c>
      <c r="P20" s="2">
        <v>-0.02</v>
      </c>
      <c r="Q20">
        <v>1.53</v>
      </c>
      <c r="R20" t="s">
        <v>37</v>
      </c>
      <c r="S20" t="s">
        <v>1277</v>
      </c>
      <c r="T20" s="1">
        <v>43397.621562499997</v>
      </c>
      <c r="U20">
        <v>1</v>
      </c>
      <c r="V20" t="s">
        <v>44</v>
      </c>
      <c r="W20">
        <v>8</v>
      </c>
      <c r="X20" t="s">
        <v>118</v>
      </c>
      <c r="Y20">
        <v>25</v>
      </c>
      <c r="Z20">
        <v>0</v>
      </c>
      <c r="AA20" t="s">
        <v>119</v>
      </c>
      <c r="AB20">
        <v>0</v>
      </c>
      <c r="AC20" t="s">
        <v>43</v>
      </c>
      <c r="AD20">
        <v>1.55</v>
      </c>
      <c r="AE20">
        <v>1.7</v>
      </c>
      <c r="AF20">
        <v>0</v>
      </c>
      <c r="AG20">
        <v>0</v>
      </c>
      <c r="AH20" t="s">
        <v>120</v>
      </c>
      <c r="AI20" t="s">
        <v>43</v>
      </c>
    </row>
    <row r="21" spans="1:35" x14ac:dyDescent="0.25">
      <c r="A21">
        <v>44</v>
      </c>
      <c r="B21" t="s">
        <v>121</v>
      </c>
      <c r="C21" t="s">
        <v>122</v>
      </c>
      <c r="D21">
        <v>88</v>
      </c>
      <c r="E21">
        <v>3400</v>
      </c>
      <c r="F21">
        <v>129</v>
      </c>
      <c r="G21">
        <v>3001</v>
      </c>
      <c r="H21">
        <v>0</v>
      </c>
      <c r="I21">
        <v>41</v>
      </c>
      <c r="J21">
        <v>0</v>
      </c>
      <c r="K21">
        <v>2885</v>
      </c>
      <c r="L21">
        <v>2761</v>
      </c>
      <c r="M21">
        <v>1</v>
      </c>
      <c r="N21">
        <v>59</v>
      </c>
      <c r="O21">
        <v>299</v>
      </c>
      <c r="P21">
        <v>0.59</v>
      </c>
      <c r="Q21">
        <v>2.99</v>
      </c>
      <c r="R21" t="s">
        <v>37</v>
      </c>
      <c r="S21" t="s">
        <v>1277</v>
      </c>
      <c r="T21" s="1">
        <v>43397.621562499997</v>
      </c>
      <c r="U21">
        <v>2</v>
      </c>
      <c r="V21" t="s">
        <v>47</v>
      </c>
      <c r="W21">
        <v>2</v>
      </c>
      <c r="X21" t="s">
        <v>39</v>
      </c>
      <c r="Y21">
        <v>32</v>
      </c>
      <c r="Z21">
        <v>21</v>
      </c>
      <c r="AA21" t="s">
        <v>97</v>
      </c>
      <c r="AB21">
        <v>2</v>
      </c>
      <c r="AC21" t="s">
        <v>41</v>
      </c>
      <c r="AD21">
        <v>30.01</v>
      </c>
      <c r="AE21">
        <v>34</v>
      </c>
      <c r="AF21">
        <v>28.85</v>
      </c>
      <c r="AG21">
        <v>27.61</v>
      </c>
      <c r="AH21" t="s">
        <v>123</v>
      </c>
    </row>
    <row r="22" spans="1:35" x14ac:dyDescent="0.25">
      <c r="A22">
        <v>45</v>
      </c>
      <c r="B22" t="s">
        <v>124</v>
      </c>
      <c r="C22" t="s">
        <v>125</v>
      </c>
      <c r="D22">
        <v>85</v>
      </c>
      <c r="E22">
        <v>30498</v>
      </c>
      <c r="F22">
        <v>69</v>
      </c>
      <c r="G22">
        <v>30000</v>
      </c>
      <c r="H22">
        <v>0</v>
      </c>
      <c r="I22">
        <v>25</v>
      </c>
      <c r="J22">
        <v>0</v>
      </c>
      <c r="K22">
        <v>28010</v>
      </c>
      <c r="L22">
        <v>25500</v>
      </c>
      <c r="M22">
        <v>1</v>
      </c>
      <c r="N22">
        <v>-2551.8000000000002</v>
      </c>
      <c r="O22">
        <v>1948.2</v>
      </c>
      <c r="P22">
        <v>-25.52</v>
      </c>
      <c r="Q22">
        <v>19.48</v>
      </c>
      <c r="R22" t="s">
        <v>37</v>
      </c>
      <c r="S22" t="s">
        <v>1277</v>
      </c>
      <c r="T22" s="1">
        <v>43397.621562499997</v>
      </c>
      <c r="U22">
        <v>3</v>
      </c>
      <c r="V22" t="s">
        <v>38</v>
      </c>
      <c r="W22">
        <v>2</v>
      </c>
      <c r="X22" t="s">
        <v>39</v>
      </c>
      <c r="Y22">
        <v>6</v>
      </c>
      <c r="Z22">
        <v>52</v>
      </c>
      <c r="AA22" t="s">
        <v>126</v>
      </c>
      <c r="AB22">
        <v>4</v>
      </c>
      <c r="AC22" t="s">
        <v>67</v>
      </c>
      <c r="AD22">
        <v>300</v>
      </c>
      <c r="AE22">
        <v>304.98</v>
      </c>
      <c r="AF22">
        <v>280.10000000000002</v>
      </c>
      <c r="AG22">
        <v>255</v>
      </c>
      <c r="AH22" t="s">
        <v>127</v>
      </c>
    </row>
    <row r="23" spans="1:35" x14ac:dyDescent="0.25">
      <c r="A23">
        <v>46</v>
      </c>
      <c r="B23" t="s">
        <v>128</v>
      </c>
      <c r="C23" t="s">
        <v>129</v>
      </c>
      <c r="D23">
        <v>40</v>
      </c>
      <c r="E23">
        <v>239998</v>
      </c>
      <c r="F23">
        <v>109</v>
      </c>
      <c r="G23">
        <v>230000</v>
      </c>
      <c r="H23">
        <v>0</v>
      </c>
      <c r="I23">
        <v>5</v>
      </c>
      <c r="J23">
        <v>0</v>
      </c>
      <c r="K23">
        <v>214604</v>
      </c>
      <c r="L23">
        <v>205937</v>
      </c>
      <c r="M23">
        <v>1</v>
      </c>
      <c r="N23">
        <v>-14001.8</v>
      </c>
      <c r="O23">
        <v>10061.200000000001</v>
      </c>
      <c r="P23">
        <v>-140.02000000000001</v>
      </c>
      <c r="Q23">
        <v>100.61</v>
      </c>
      <c r="R23" t="s">
        <v>37</v>
      </c>
      <c r="S23" t="s">
        <v>1277</v>
      </c>
      <c r="T23" s="1">
        <v>43397.621562499997</v>
      </c>
      <c r="U23">
        <v>4</v>
      </c>
      <c r="V23" t="s">
        <v>55</v>
      </c>
      <c r="W23">
        <v>2</v>
      </c>
      <c r="X23" t="s">
        <v>39</v>
      </c>
      <c r="Y23">
        <v>19</v>
      </c>
      <c r="Z23">
        <v>82</v>
      </c>
      <c r="AA23" t="s">
        <v>130</v>
      </c>
      <c r="AB23">
        <v>2</v>
      </c>
      <c r="AC23" t="s">
        <v>41</v>
      </c>
      <c r="AD23">
        <v>2300</v>
      </c>
      <c r="AE23">
        <v>2399.98</v>
      </c>
      <c r="AF23">
        <v>2146.04</v>
      </c>
      <c r="AG23">
        <v>2059.37</v>
      </c>
      <c r="AH23" t="s">
        <v>131</v>
      </c>
    </row>
    <row r="24" spans="1:35" x14ac:dyDescent="0.25">
      <c r="A24">
        <v>47</v>
      </c>
      <c r="B24" t="s">
        <v>132</v>
      </c>
      <c r="C24" t="s">
        <v>133</v>
      </c>
      <c r="D24">
        <v>31</v>
      </c>
      <c r="E24">
        <v>199800</v>
      </c>
      <c r="F24">
        <v>20</v>
      </c>
      <c r="G24">
        <v>185700</v>
      </c>
      <c r="H24">
        <v>0</v>
      </c>
      <c r="I24">
        <v>28</v>
      </c>
      <c r="J24">
        <v>0</v>
      </c>
      <c r="K24">
        <v>197832</v>
      </c>
      <c r="L24">
        <v>179225</v>
      </c>
      <c r="M24">
        <v>1</v>
      </c>
      <c r="N24">
        <v>-5880</v>
      </c>
      <c r="O24">
        <v>595</v>
      </c>
      <c r="P24">
        <v>-58.8</v>
      </c>
      <c r="Q24">
        <v>5.95</v>
      </c>
      <c r="R24" t="s">
        <v>37</v>
      </c>
      <c r="S24" t="s">
        <v>1277</v>
      </c>
      <c r="T24" s="1">
        <v>43397.621562499997</v>
      </c>
      <c r="U24">
        <v>4</v>
      </c>
      <c r="V24" t="s">
        <v>55</v>
      </c>
      <c r="W24">
        <v>2</v>
      </c>
      <c r="X24" t="s">
        <v>39</v>
      </c>
      <c r="Y24">
        <v>31</v>
      </c>
      <c r="Z24">
        <v>76</v>
      </c>
      <c r="AA24" t="s">
        <v>76</v>
      </c>
      <c r="AB24">
        <v>4</v>
      </c>
      <c r="AC24" t="s">
        <v>67</v>
      </c>
      <c r="AD24">
        <v>1857</v>
      </c>
      <c r="AE24">
        <v>1998</v>
      </c>
      <c r="AF24">
        <v>1978.32</v>
      </c>
      <c r="AG24">
        <v>1792.25</v>
      </c>
      <c r="AH24" t="s">
        <v>134</v>
      </c>
    </row>
    <row r="25" spans="1:35" x14ac:dyDescent="0.25">
      <c r="A25">
        <v>48</v>
      </c>
      <c r="B25" t="s">
        <v>135</v>
      </c>
      <c r="C25" t="s">
        <v>136</v>
      </c>
      <c r="D25">
        <v>58</v>
      </c>
      <c r="E25">
        <v>33499</v>
      </c>
      <c r="F25">
        <v>22</v>
      </c>
      <c r="G25">
        <v>31315</v>
      </c>
      <c r="H25">
        <v>0</v>
      </c>
      <c r="I25">
        <v>30</v>
      </c>
      <c r="J25">
        <v>0</v>
      </c>
      <c r="K25">
        <v>29756</v>
      </c>
      <c r="L25">
        <v>28304</v>
      </c>
      <c r="M25">
        <v>1</v>
      </c>
      <c r="N25">
        <v>-1165.9000000000001</v>
      </c>
      <c r="O25">
        <v>1845.1</v>
      </c>
      <c r="P25">
        <v>-11.66</v>
      </c>
      <c r="Q25">
        <v>18.45</v>
      </c>
      <c r="R25" t="s">
        <v>37</v>
      </c>
      <c r="S25" t="s">
        <v>1277</v>
      </c>
      <c r="T25" s="1">
        <v>43397.621562499997</v>
      </c>
      <c r="U25">
        <v>3</v>
      </c>
      <c r="V25" t="s">
        <v>38</v>
      </c>
      <c r="W25">
        <v>3</v>
      </c>
      <c r="X25" t="s">
        <v>109</v>
      </c>
      <c r="Y25">
        <v>14</v>
      </c>
      <c r="Z25">
        <v>71</v>
      </c>
      <c r="AA25" t="s">
        <v>110</v>
      </c>
      <c r="AB25">
        <v>2</v>
      </c>
      <c r="AC25" t="s">
        <v>41</v>
      </c>
      <c r="AD25">
        <v>313.14999999999998</v>
      </c>
      <c r="AE25">
        <v>334.99</v>
      </c>
      <c r="AF25">
        <v>297.56</v>
      </c>
      <c r="AG25">
        <v>283.04000000000002</v>
      </c>
      <c r="AH25" t="s">
        <v>137</v>
      </c>
    </row>
    <row r="26" spans="1:35" x14ac:dyDescent="0.25">
      <c r="A26">
        <v>49</v>
      </c>
      <c r="B26" t="s">
        <v>138</v>
      </c>
      <c r="C26" t="s">
        <v>139</v>
      </c>
      <c r="D26">
        <v>11</v>
      </c>
      <c r="E26">
        <v>5310000</v>
      </c>
      <c r="F26">
        <v>46</v>
      </c>
      <c r="G26">
        <v>4800000</v>
      </c>
      <c r="H26">
        <v>0</v>
      </c>
      <c r="I26">
        <v>61</v>
      </c>
      <c r="J26">
        <v>0</v>
      </c>
      <c r="K26">
        <v>5378650</v>
      </c>
      <c r="L26">
        <v>4410256</v>
      </c>
      <c r="M26">
        <v>1</v>
      </c>
      <c r="N26">
        <v>-21000</v>
      </c>
      <c r="O26">
        <v>368744</v>
      </c>
      <c r="P26">
        <v>-210</v>
      </c>
      <c r="Q26">
        <v>3687.44</v>
      </c>
      <c r="R26" t="s">
        <v>37</v>
      </c>
      <c r="S26" t="s">
        <v>1277</v>
      </c>
      <c r="T26" s="1">
        <v>43397.621562499997</v>
      </c>
      <c r="U26">
        <v>5</v>
      </c>
      <c r="V26" t="s">
        <v>140</v>
      </c>
      <c r="W26">
        <v>2</v>
      </c>
      <c r="X26" t="s">
        <v>39</v>
      </c>
      <c r="Y26">
        <v>22</v>
      </c>
      <c r="Z26">
        <v>48</v>
      </c>
      <c r="AA26" t="s">
        <v>141</v>
      </c>
      <c r="AB26">
        <v>1</v>
      </c>
      <c r="AC26" t="s">
        <v>60</v>
      </c>
      <c r="AD26">
        <v>48000</v>
      </c>
      <c r="AE26">
        <v>53100</v>
      </c>
      <c r="AF26">
        <v>53786.5</v>
      </c>
      <c r="AG26">
        <v>44102.559999999998</v>
      </c>
      <c r="AH26" t="s">
        <v>142</v>
      </c>
    </row>
    <row r="27" spans="1:35" x14ac:dyDescent="0.25">
      <c r="A27">
        <v>51</v>
      </c>
      <c r="B27" t="s">
        <v>143</v>
      </c>
      <c r="C27" t="s">
        <v>129</v>
      </c>
      <c r="D27">
        <v>47</v>
      </c>
      <c r="E27">
        <v>3363</v>
      </c>
      <c r="F27">
        <v>32</v>
      </c>
      <c r="G27">
        <v>3000</v>
      </c>
      <c r="H27">
        <v>0</v>
      </c>
      <c r="I27">
        <v>117</v>
      </c>
      <c r="J27">
        <v>0</v>
      </c>
      <c r="K27">
        <v>2938</v>
      </c>
      <c r="L27">
        <v>2826</v>
      </c>
      <c r="M27">
        <v>1</v>
      </c>
      <c r="N27">
        <v>26.7</v>
      </c>
      <c r="O27">
        <v>200.7</v>
      </c>
      <c r="P27">
        <v>0.27</v>
      </c>
      <c r="Q27">
        <v>2.0099999999999998</v>
      </c>
      <c r="R27" t="s">
        <v>37</v>
      </c>
      <c r="S27" t="s">
        <v>1277</v>
      </c>
      <c r="T27" s="1">
        <v>43397.621562499997</v>
      </c>
      <c r="U27">
        <v>2</v>
      </c>
      <c r="V27" t="s">
        <v>47</v>
      </c>
      <c r="W27">
        <v>2</v>
      </c>
      <c r="X27" t="s">
        <v>39</v>
      </c>
      <c r="Y27">
        <v>19</v>
      </c>
      <c r="Z27">
        <v>2</v>
      </c>
      <c r="AA27" t="s">
        <v>130</v>
      </c>
      <c r="AB27">
        <v>4</v>
      </c>
      <c r="AC27" t="s">
        <v>67</v>
      </c>
      <c r="AD27">
        <v>30</v>
      </c>
      <c r="AE27">
        <v>33.630000000000003</v>
      </c>
      <c r="AF27">
        <v>29.38</v>
      </c>
      <c r="AG27">
        <v>28.26</v>
      </c>
      <c r="AH27" t="s">
        <v>144</v>
      </c>
    </row>
    <row r="28" spans="1:35" x14ac:dyDescent="0.25">
      <c r="A28">
        <v>52</v>
      </c>
      <c r="B28" t="s">
        <v>145</v>
      </c>
      <c r="C28" t="s">
        <v>146</v>
      </c>
      <c r="D28">
        <v>78</v>
      </c>
      <c r="E28">
        <v>3500</v>
      </c>
      <c r="F28">
        <v>39</v>
      </c>
      <c r="G28">
        <v>3139</v>
      </c>
      <c r="H28">
        <v>0</v>
      </c>
      <c r="I28">
        <v>91</v>
      </c>
      <c r="J28">
        <v>0</v>
      </c>
      <c r="K28">
        <v>3039</v>
      </c>
      <c r="L28">
        <v>2911</v>
      </c>
      <c r="M28">
        <v>1</v>
      </c>
      <c r="N28">
        <v>11</v>
      </c>
      <c r="O28">
        <v>239</v>
      </c>
      <c r="P28">
        <v>0.11</v>
      </c>
      <c r="Q28">
        <v>2.39</v>
      </c>
      <c r="R28" t="s">
        <v>37</v>
      </c>
      <c r="S28" t="s">
        <v>1277</v>
      </c>
      <c r="T28" s="1">
        <v>43397.621562499997</v>
      </c>
      <c r="U28">
        <v>2</v>
      </c>
      <c r="V28" t="s">
        <v>47</v>
      </c>
      <c r="W28">
        <v>3</v>
      </c>
      <c r="X28" t="s">
        <v>109</v>
      </c>
      <c r="Y28">
        <v>14</v>
      </c>
      <c r="Z28">
        <v>17</v>
      </c>
      <c r="AA28" t="s">
        <v>110</v>
      </c>
      <c r="AB28">
        <v>3</v>
      </c>
      <c r="AC28" t="s">
        <v>72</v>
      </c>
      <c r="AD28">
        <v>31.39</v>
      </c>
      <c r="AE28">
        <v>35</v>
      </c>
      <c r="AF28">
        <v>30.39</v>
      </c>
      <c r="AG28">
        <v>29.11</v>
      </c>
      <c r="AH28" t="s">
        <v>147</v>
      </c>
    </row>
    <row r="29" spans="1:35" x14ac:dyDescent="0.25">
      <c r="A29">
        <v>53</v>
      </c>
      <c r="B29" t="s">
        <v>148</v>
      </c>
      <c r="C29" t="s">
        <v>43</v>
      </c>
      <c r="D29">
        <v>3097</v>
      </c>
      <c r="E29">
        <v>392</v>
      </c>
      <c r="F29">
        <v>1602</v>
      </c>
      <c r="G29">
        <v>391</v>
      </c>
      <c r="H29">
        <v>0</v>
      </c>
      <c r="I29">
        <v>1</v>
      </c>
      <c r="J29">
        <v>0</v>
      </c>
      <c r="K29">
        <v>0</v>
      </c>
      <c r="L29">
        <v>0</v>
      </c>
      <c r="M29">
        <v>100</v>
      </c>
      <c r="N29">
        <v>-38.200000000000003</v>
      </c>
      <c r="O29">
        <v>352.8</v>
      </c>
      <c r="P29">
        <v>-0.38</v>
      </c>
      <c r="Q29">
        <v>3.53</v>
      </c>
      <c r="R29" t="s">
        <v>37</v>
      </c>
      <c r="S29" t="s">
        <v>1277</v>
      </c>
      <c r="T29" s="1">
        <v>43397.621562499997</v>
      </c>
      <c r="U29">
        <v>1</v>
      </c>
      <c r="V29" t="s">
        <v>44</v>
      </c>
      <c r="W29">
        <v>8</v>
      </c>
      <c r="X29" t="s">
        <v>118</v>
      </c>
      <c r="Y29">
        <v>25</v>
      </c>
      <c r="Z29">
        <v>0</v>
      </c>
      <c r="AA29" t="s">
        <v>119</v>
      </c>
      <c r="AB29">
        <v>0</v>
      </c>
      <c r="AC29" t="s">
        <v>43</v>
      </c>
      <c r="AD29">
        <v>3.91</v>
      </c>
      <c r="AE29">
        <v>3.92</v>
      </c>
      <c r="AF29">
        <v>0</v>
      </c>
      <c r="AG29">
        <v>0</v>
      </c>
      <c r="AH29" t="s">
        <v>149</v>
      </c>
      <c r="AI29" t="s">
        <v>43</v>
      </c>
    </row>
    <row r="30" spans="1:35" x14ac:dyDescent="0.25">
      <c r="A30">
        <v>54</v>
      </c>
      <c r="B30" t="s">
        <v>150</v>
      </c>
      <c r="C30" t="s">
        <v>151</v>
      </c>
      <c r="D30">
        <v>31</v>
      </c>
      <c r="E30">
        <v>212300</v>
      </c>
      <c r="F30">
        <v>23</v>
      </c>
      <c r="G30">
        <v>190700</v>
      </c>
      <c r="H30">
        <v>0</v>
      </c>
      <c r="I30">
        <v>6</v>
      </c>
      <c r="J30">
        <v>0</v>
      </c>
      <c r="K30">
        <v>202052</v>
      </c>
      <c r="L30">
        <v>191885</v>
      </c>
      <c r="M30">
        <v>1</v>
      </c>
      <c r="N30">
        <v>370</v>
      </c>
      <c r="O30">
        <v>-815</v>
      </c>
      <c r="P30">
        <v>3.7</v>
      </c>
      <c r="Q30">
        <v>-8.15</v>
      </c>
      <c r="R30" t="s">
        <v>59</v>
      </c>
      <c r="S30" t="s">
        <v>1277</v>
      </c>
      <c r="T30" s="1">
        <v>43397.621562499997</v>
      </c>
      <c r="U30">
        <v>4</v>
      </c>
      <c r="V30" t="s">
        <v>55</v>
      </c>
      <c r="W30">
        <v>2</v>
      </c>
      <c r="X30" t="s">
        <v>39</v>
      </c>
      <c r="Y30">
        <v>17</v>
      </c>
      <c r="Z30">
        <v>77</v>
      </c>
      <c r="AA30" t="s">
        <v>152</v>
      </c>
      <c r="AB30">
        <v>4</v>
      </c>
      <c r="AC30" t="s">
        <v>67</v>
      </c>
      <c r="AD30">
        <v>1907</v>
      </c>
      <c r="AE30">
        <v>2123</v>
      </c>
      <c r="AF30">
        <v>2020.52</v>
      </c>
      <c r="AG30">
        <v>1918.85</v>
      </c>
      <c r="AH30" t="s">
        <v>153</v>
      </c>
    </row>
    <row r="31" spans="1:35" x14ac:dyDescent="0.25">
      <c r="A31">
        <v>55</v>
      </c>
      <c r="B31" t="s">
        <v>154</v>
      </c>
      <c r="C31" t="s">
        <v>155</v>
      </c>
      <c r="D31">
        <v>28</v>
      </c>
      <c r="E31">
        <v>192500</v>
      </c>
      <c r="F31">
        <v>27</v>
      </c>
      <c r="G31">
        <v>176700</v>
      </c>
      <c r="H31">
        <v>0</v>
      </c>
      <c r="I31">
        <v>15</v>
      </c>
      <c r="J31">
        <v>0</v>
      </c>
      <c r="K31">
        <v>196063</v>
      </c>
      <c r="L31">
        <v>184548</v>
      </c>
      <c r="M31">
        <v>1</v>
      </c>
      <c r="N31">
        <v>-3450</v>
      </c>
      <c r="O31">
        <v>-11298</v>
      </c>
      <c r="P31">
        <v>-34.5</v>
      </c>
      <c r="Q31">
        <v>-112.98</v>
      </c>
      <c r="R31" t="s">
        <v>59</v>
      </c>
      <c r="S31" t="s">
        <v>1277</v>
      </c>
      <c r="T31" s="1">
        <v>43397.621562499997</v>
      </c>
      <c r="U31">
        <v>4</v>
      </c>
      <c r="V31" t="s">
        <v>55</v>
      </c>
      <c r="W31">
        <v>2</v>
      </c>
      <c r="X31" t="s">
        <v>39</v>
      </c>
      <c r="Y31">
        <v>15</v>
      </c>
      <c r="Z31">
        <v>80</v>
      </c>
      <c r="AA31" t="s">
        <v>80</v>
      </c>
      <c r="AB31">
        <v>3</v>
      </c>
      <c r="AC31" t="s">
        <v>72</v>
      </c>
      <c r="AD31">
        <v>1767</v>
      </c>
      <c r="AE31">
        <v>1925</v>
      </c>
      <c r="AF31">
        <v>1960.63</v>
      </c>
      <c r="AG31">
        <v>1845.48</v>
      </c>
      <c r="AH31" t="s">
        <v>156</v>
      </c>
    </row>
    <row r="32" spans="1:35" x14ac:dyDescent="0.25">
      <c r="A32">
        <v>56</v>
      </c>
      <c r="B32" t="s">
        <v>157</v>
      </c>
      <c r="C32" t="s">
        <v>158</v>
      </c>
      <c r="D32">
        <v>7</v>
      </c>
      <c r="E32">
        <v>4299900</v>
      </c>
      <c r="F32">
        <v>13</v>
      </c>
      <c r="G32">
        <v>3500045</v>
      </c>
      <c r="H32">
        <v>0</v>
      </c>
      <c r="I32">
        <v>142</v>
      </c>
      <c r="J32">
        <v>0</v>
      </c>
      <c r="K32">
        <v>5109250</v>
      </c>
      <c r="L32">
        <v>4120506</v>
      </c>
      <c r="M32">
        <v>1</v>
      </c>
      <c r="N32">
        <v>369865</v>
      </c>
      <c r="O32">
        <v>-250596</v>
      </c>
      <c r="P32">
        <v>3698.65</v>
      </c>
      <c r="Q32">
        <v>-2505.96</v>
      </c>
      <c r="R32" t="s">
        <v>59</v>
      </c>
      <c r="S32" t="s">
        <v>1277</v>
      </c>
      <c r="T32" s="1">
        <v>43397.621562499997</v>
      </c>
      <c r="U32">
        <v>5</v>
      </c>
      <c r="V32" t="s">
        <v>140</v>
      </c>
      <c r="W32">
        <v>2</v>
      </c>
      <c r="X32" t="s">
        <v>39</v>
      </c>
      <c r="Y32">
        <v>20</v>
      </c>
      <c r="Z32">
        <v>47</v>
      </c>
      <c r="AA32" t="s">
        <v>159</v>
      </c>
      <c r="AB32">
        <v>1</v>
      </c>
      <c r="AC32" t="s">
        <v>60</v>
      </c>
      <c r="AD32">
        <v>35000.449999999997</v>
      </c>
      <c r="AE32">
        <v>42999</v>
      </c>
      <c r="AF32">
        <v>51092.5</v>
      </c>
      <c r="AG32">
        <v>41205.06</v>
      </c>
      <c r="AH32" t="s">
        <v>160</v>
      </c>
    </row>
    <row r="33" spans="1:35" x14ac:dyDescent="0.25">
      <c r="A33">
        <v>57</v>
      </c>
      <c r="B33" t="s">
        <v>161</v>
      </c>
      <c r="C33" t="s">
        <v>43</v>
      </c>
      <c r="D33">
        <v>330</v>
      </c>
      <c r="E33">
        <v>3991</v>
      </c>
      <c r="F33">
        <v>227</v>
      </c>
      <c r="G33">
        <v>3921</v>
      </c>
      <c r="H33">
        <v>0</v>
      </c>
      <c r="I33">
        <v>46</v>
      </c>
      <c r="J33">
        <v>0</v>
      </c>
      <c r="K33">
        <v>0</v>
      </c>
      <c r="L33">
        <v>0</v>
      </c>
      <c r="M33">
        <v>1000</v>
      </c>
      <c r="N33">
        <v>-329.1</v>
      </c>
      <c r="O33">
        <v>3591.9</v>
      </c>
      <c r="P33" s="2">
        <v>-3.29</v>
      </c>
      <c r="Q33">
        <v>35.92</v>
      </c>
      <c r="R33" t="s">
        <v>37</v>
      </c>
      <c r="S33" t="s">
        <v>1277</v>
      </c>
      <c r="T33" s="1">
        <v>43397.621562499997</v>
      </c>
      <c r="U33">
        <v>1</v>
      </c>
      <c r="V33" t="s">
        <v>44</v>
      </c>
      <c r="W33">
        <v>8</v>
      </c>
      <c r="X33" t="s">
        <v>118</v>
      </c>
      <c r="Y33">
        <v>25</v>
      </c>
      <c r="Z33">
        <v>0</v>
      </c>
      <c r="AA33" t="s">
        <v>119</v>
      </c>
      <c r="AB33">
        <v>0</v>
      </c>
      <c r="AC33" t="s">
        <v>43</v>
      </c>
      <c r="AD33">
        <v>39.21</v>
      </c>
      <c r="AE33">
        <v>39.909999999999997</v>
      </c>
      <c r="AF33">
        <v>0</v>
      </c>
      <c r="AG33">
        <v>0</v>
      </c>
      <c r="AH33" t="s">
        <v>162</v>
      </c>
      <c r="AI33" t="s">
        <v>43</v>
      </c>
    </row>
    <row r="34" spans="1:35" x14ac:dyDescent="0.25">
      <c r="A34">
        <v>59</v>
      </c>
      <c r="B34" t="s">
        <v>163</v>
      </c>
      <c r="C34" t="s">
        <v>164</v>
      </c>
      <c r="D34">
        <v>87</v>
      </c>
      <c r="E34">
        <v>2995</v>
      </c>
      <c r="F34">
        <v>51</v>
      </c>
      <c r="G34">
        <v>2889</v>
      </c>
      <c r="H34">
        <v>0</v>
      </c>
      <c r="I34">
        <v>149</v>
      </c>
      <c r="J34">
        <v>0</v>
      </c>
      <c r="K34">
        <v>2678</v>
      </c>
      <c r="L34">
        <v>2591</v>
      </c>
      <c r="M34">
        <v>1</v>
      </c>
      <c r="N34">
        <v>-193.5</v>
      </c>
      <c r="O34">
        <v>104.5</v>
      </c>
      <c r="P34">
        <v>-1.94</v>
      </c>
      <c r="Q34">
        <v>1.05</v>
      </c>
      <c r="R34" t="s">
        <v>37</v>
      </c>
      <c r="S34" t="s">
        <v>1277</v>
      </c>
      <c r="T34" s="1">
        <v>43397.621562499997</v>
      </c>
      <c r="U34">
        <v>2</v>
      </c>
      <c r="V34" t="s">
        <v>47</v>
      </c>
      <c r="W34">
        <v>4</v>
      </c>
      <c r="X34" t="s">
        <v>114</v>
      </c>
      <c r="Y34">
        <v>35</v>
      </c>
      <c r="Z34">
        <v>31</v>
      </c>
      <c r="AA34" t="s">
        <v>165</v>
      </c>
      <c r="AB34">
        <v>2</v>
      </c>
      <c r="AC34" t="s">
        <v>41</v>
      </c>
      <c r="AD34">
        <v>28.89</v>
      </c>
      <c r="AE34">
        <v>29.95</v>
      </c>
      <c r="AF34">
        <v>26.78</v>
      </c>
      <c r="AG34">
        <v>25.91</v>
      </c>
      <c r="AH34" t="s">
        <v>166</v>
      </c>
    </row>
    <row r="35" spans="1:35" x14ac:dyDescent="0.25">
      <c r="A35">
        <v>60</v>
      </c>
      <c r="B35" t="s">
        <v>167</v>
      </c>
      <c r="C35" t="s">
        <v>168</v>
      </c>
      <c r="D35">
        <v>107</v>
      </c>
      <c r="E35">
        <v>3444</v>
      </c>
      <c r="F35">
        <v>104</v>
      </c>
      <c r="G35">
        <v>3439</v>
      </c>
      <c r="H35">
        <v>0</v>
      </c>
      <c r="I35">
        <v>56</v>
      </c>
      <c r="J35">
        <v>0</v>
      </c>
      <c r="K35">
        <v>3338</v>
      </c>
      <c r="L35">
        <v>3134</v>
      </c>
      <c r="M35">
        <v>1</v>
      </c>
      <c r="N35">
        <v>-339.4</v>
      </c>
      <c r="O35">
        <v>-34.4</v>
      </c>
      <c r="P35">
        <v>-3.39</v>
      </c>
      <c r="Q35">
        <v>-0.34</v>
      </c>
      <c r="R35" t="s">
        <v>37</v>
      </c>
      <c r="S35" t="s">
        <v>1277</v>
      </c>
      <c r="T35" s="1">
        <v>43397.621562499997</v>
      </c>
      <c r="U35">
        <v>2</v>
      </c>
      <c r="V35" t="s">
        <v>47</v>
      </c>
      <c r="W35">
        <v>1</v>
      </c>
      <c r="X35" t="s">
        <v>101</v>
      </c>
      <c r="Y35">
        <v>55</v>
      </c>
      <c r="Z35">
        <v>25</v>
      </c>
      <c r="AA35" t="s">
        <v>169</v>
      </c>
      <c r="AB35">
        <v>2</v>
      </c>
      <c r="AC35" t="s">
        <v>41</v>
      </c>
      <c r="AD35">
        <v>34.39</v>
      </c>
      <c r="AE35">
        <v>34.44</v>
      </c>
      <c r="AF35">
        <v>33.380000000000003</v>
      </c>
      <c r="AG35">
        <v>31.34</v>
      </c>
      <c r="AH35" t="s">
        <v>170</v>
      </c>
    </row>
    <row r="36" spans="1:35" x14ac:dyDescent="0.25">
      <c r="A36">
        <v>61</v>
      </c>
      <c r="B36" t="s">
        <v>171</v>
      </c>
      <c r="C36" t="s">
        <v>172</v>
      </c>
      <c r="D36">
        <v>130</v>
      </c>
      <c r="E36">
        <v>2328</v>
      </c>
      <c r="F36">
        <v>161</v>
      </c>
      <c r="G36">
        <v>2001</v>
      </c>
      <c r="H36">
        <v>0</v>
      </c>
      <c r="I36">
        <v>71</v>
      </c>
      <c r="J36">
        <v>0</v>
      </c>
      <c r="K36">
        <v>2858</v>
      </c>
      <c r="L36">
        <v>2767</v>
      </c>
      <c r="M36">
        <v>1</v>
      </c>
      <c r="N36">
        <v>94.2</v>
      </c>
      <c r="O36">
        <v>-671.8</v>
      </c>
      <c r="P36">
        <v>0.94</v>
      </c>
      <c r="Q36">
        <v>-6.72</v>
      </c>
      <c r="R36" t="s">
        <v>59</v>
      </c>
      <c r="S36" t="s">
        <v>1277</v>
      </c>
      <c r="T36" s="1">
        <v>43397.621562499997</v>
      </c>
      <c r="U36">
        <v>2</v>
      </c>
      <c r="V36" t="s">
        <v>47</v>
      </c>
      <c r="W36">
        <v>2</v>
      </c>
      <c r="X36" t="s">
        <v>39</v>
      </c>
      <c r="Y36">
        <v>31</v>
      </c>
      <c r="Z36">
        <v>1</v>
      </c>
      <c r="AA36" t="s">
        <v>76</v>
      </c>
      <c r="AB36">
        <v>1</v>
      </c>
      <c r="AC36" t="s">
        <v>60</v>
      </c>
      <c r="AD36">
        <v>20.010000000000002</v>
      </c>
      <c r="AE36">
        <v>23.28</v>
      </c>
      <c r="AF36">
        <v>28.58</v>
      </c>
      <c r="AG36">
        <v>27.67</v>
      </c>
      <c r="AH36" t="s">
        <v>173</v>
      </c>
    </row>
    <row r="37" spans="1:35" x14ac:dyDescent="0.25">
      <c r="A37">
        <v>62</v>
      </c>
      <c r="B37" t="s">
        <v>174</v>
      </c>
      <c r="C37" t="s">
        <v>175</v>
      </c>
      <c r="D37">
        <v>41</v>
      </c>
      <c r="E37">
        <v>31000</v>
      </c>
      <c r="F37">
        <v>22</v>
      </c>
      <c r="G37">
        <v>28002</v>
      </c>
      <c r="H37">
        <v>0</v>
      </c>
      <c r="I37">
        <v>82</v>
      </c>
      <c r="J37">
        <v>0</v>
      </c>
      <c r="K37">
        <v>26752</v>
      </c>
      <c r="L37">
        <v>24738</v>
      </c>
      <c r="M37">
        <v>1</v>
      </c>
      <c r="N37">
        <v>-102</v>
      </c>
      <c r="O37">
        <v>3162</v>
      </c>
      <c r="P37">
        <v>-1.02</v>
      </c>
      <c r="Q37">
        <v>31.62</v>
      </c>
      <c r="R37" t="s">
        <v>37</v>
      </c>
      <c r="S37" t="s">
        <v>1277</v>
      </c>
      <c r="T37" s="1">
        <v>43397.621562499997</v>
      </c>
      <c r="U37">
        <v>3</v>
      </c>
      <c r="V37" t="s">
        <v>38</v>
      </c>
      <c r="W37">
        <v>4</v>
      </c>
      <c r="X37" t="s">
        <v>114</v>
      </c>
      <c r="Y37">
        <v>29</v>
      </c>
      <c r="Z37">
        <v>30</v>
      </c>
      <c r="AA37" t="s">
        <v>115</v>
      </c>
      <c r="AB37">
        <v>2</v>
      </c>
      <c r="AC37" t="s">
        <v>41</v>
      </c>
      <c r="AD37">
        <v>280.02</v>
      </c>
      <c r="AE37">
        <v>310</v>
      </c>
      <c r="AF37">
        <v>267.52</v>
      </c>
      <c r="AG37">
        <v>247.38</v>
      </c>
      <c r="AH37" t="s">
        <v>176</v>
      </c>
    </row>
    <row r="38" spans="1:35" x14ac:dyDescent="0.25">
      <c r="A38">
        <v>63</v>
      </c>
      <c r="B38" t="s">
        <v>177</v>
      </c>
      <c r="C38" t="s">
        <v>178</v>
      </c>
      <c r="D38">
        <v>45</v>
      </c>
      <c r="E38">
        <v>32360</v>
      </c>
      <c r="F38">
        <v>15</v>
      </c>
      <c r="G38">
        <v>29320</v>
      </c>
      <c r="H38">
        <v>0</v>
      </c>
      <c r="I38">
        <v>66</v>
      </c>
      <c r="J38">
        <v>0</v>
      </c>
      <c r="K38">
        <v>27958</v>
      </c>
      <c r="L38">
        <v>24014</v>
      </c>
      <c r="M38">
        <v>1</v>
      </c>
      <c r="N38">
        <v>-196</v>
      </c>
      <c r="O38">
        <v>5110</v>
      </c>
      <c r="P38">
        <v>-1.96</v>
      </c>
      <c r="Q38">
        <v>51.1</v>
      </c>
      <c r="R38" t="s">
        <v>37</v>
      </c>
      <c r="S38" t="s">
        <v>1277</v>
      </c>
      <c r="T38" s="1">
        <v>43397.621562499997</v>
      </c>
      <c r="U38">
        <v>3</v>
      </c>
      <c r="V38" t="s">
        <v>38</v>
      </c>
      <c r="W38">
        <v>4</v>
      </c>
      <c r="X38" t="s">
        <v>114</v>
      </c>
      <c r="Y38">
        <v>29</v>
      </c>
      <c r="Z38">
        <v>20</v>
      </c>
      <c r="AA38" t="s">
        <v>115</v>
      </c>
      <c r="AB38">
        <v>3</v>
      </c>
      <c r="AC38" t="s">
        <v>72</v>
      </c>
      <c r="AD38">
        <v>293.2</v>
      </c>
      <c r="AE38">
        <v>323.60000000000002</v>
      </c>
      <c r="AF38">
        <v>279.58</v>
      </c>
      <c r="AG38">
        <v>240.14</v>
      </c>
      <c r="AH38" t="s">
        <v>179</v>
      </c>
    </row>
    <row r="39" spans="1:35" x14ac:dyDescent="0.25">
      <c r="A39">
        <v>64</v>
      </c>
      <c r="B39" t="s">
        <v>180</v>
      </c>
      <c r="C39" t="s">
        <v>181</v>
      </c>
      <c r="D39">
        <v>56</v>
      </c>
      <c r="E39">
        <v>3329</v>
      </c>
      <c r="F39">
        <v>31</v>
      </c>
      <c r="G39">
        <v>2946</v>
      </c>
      <c r="H39">
        <v>0</v>
      </c>
      <c r="I39">
        <v>84</v>
      </c>
      <c r="J39">
        <v>0</v>
      </c>
      <c r="K39">
        <v>3140</v>
      </c>
      <c r="L39">
        <v>2974</v>
      </c>
      <c r="M39">
        <v>1</v>
      </c>
      <c r="N39">
        <v>50.1</v>
      </c>
      <c r="O39">
        <v>22.1</v>
      </c>
      <c r="P39">
        <v>0.5</v>
      </c>
      <c r="Q39">
        <v>0.22</v>
      </c>
      <c r="R39" t="s">
        <v>59</v>
      </c>
      <c r="S39" t="s">
        <v>1277</v>
      </c>
      <c r="T39" s="1">
        <v>43397.621562499997</v>
      </c>
      <c r="U39">
        <v>2</v>
      </c>
      <c r="V39" t="s">
        <v>47</v>
      </c>
      <c r="W39">
        <v>1</v>
      </c>
      <c r="X39" t="s">
        <v>101</v>
      </c>
      <c r="Y39">
        <v>5</v>
      </c>
      <c r="Z39">
        <v>14</v>
      </c>
      <c r="AA39" t="s">
        <v>182</v>
      </c>
      <c r="AB39">
        <v>3</v>
      </c>
      <c r="AC39" t="s">
        <v>72</v>
      </c>
      <c r="AD39">
        <v>29.46</v>
      </c>
      <c r="AE39">
        <v>33.29</v>
      </c>
      <c r="AF39">
        <v>31.4</v>
      </c>
      <c r="AG39">
        <v>29.74</v>
      </c>
      <c r="AH39" t="s">
        <v>183</v>
      </c>
    </row>
    <row r="40" spans="1:35" x14ac:dyDescent="0.25">
      <c r="A40">
        <v>65</v>
      </c>
      <c r="B40" t="s">
        <v>184</v>
      </c>
      <c r="C40" t="s">
        <v>185</v>
      </c>
      <c r="D40">
        <v>44</v>
      </c>
      <c r="E40">
        <v>3099</v>
      </c>
      <c r="F40">
        <v>46</v>
      </c>
      <c r="G40">
        <v>2825</v>
      </c>
      <c r="H40">
        <v>0</v>
      </c>
      <c r="I40">
        <v>122</v>
      </c>
      <c r="J40">
        <v>0</v>
      </c>
      <c r="K40">
        <v>3243</v>
      </c>
      <c r="L40">
        <v>3077</v>
      </c>
      <c r="M40">
        <v>1</v>
      </c>
      <c r="N40">
        <v>-35.9</v>
      </c>
      <c r="O40">
        <v>-287.89999999999998</v>
      </c>
      <c r="P40">
        <v>-0.36</v>
      </c>
      <c r="Q40">
        <v>-2.88</v>
      </c>
      <c r="R40" t="s">
        <v>59</v>
      </c>
      <c r="S40" t="s">
        <v>1277</v>
      </c>
      <c r="T40" s="1">
        <v>43397.621562499997</v>
      </c>
      <c r="U40">
        <v>2</v>
      </c>
      <c r="V40" t="s">
        <v>47</v>
      </c>
      <c r="W40">
        <v>3</v>
      </c>
      <c r="X40" t="s">
        <v>109</v>
      </c>
      <c r="Y40">
        <v>12</v>
      </c>
      <c r="Z40">
        <v>6</v>
      </c>
      <c r="AA40" t="s">
        <v>186</v>
      </c>
      <c r="AB40">
        <v>4</v>
      </c>
      <c r="AC40" t="s">
        <v>67</v>
      </c>
      <c r="AD40">
        <v>28.25</v>
      </c>
      <c r="AE40">
        <v>30.99</v>
      </c>
      <c r="AF40">
        <v>32.43</v>
      </c>
      <c r="AG40">
        <v>30.77</v>
      </c>
      <c r="AH40" t="s">
        <v>187</v>
      </c>
    </row>
    <row r="41" spans="1:35" x14ac:dyDescent="0.25">
      <c r="A41">
        <v>66</v>
      </c>
      <c r="B41" t="s">
        <v>188</v>
      </c>
      <c r="C41" t="s">
        <v>189</v>
      </c>
      <c r="D41">
        <v>18</v>
      </c>
      <c r="E41">
        <v>33392</v>
      </c>
      <c r="F41">
        <v>20</v>
      </c>
      <c r="G41">
        <v>32000</v>
      </c>
      <c r="H41">
        <v>0</v>
      </c>
      <c r="I41">
        <v>96</v>
      </c>
      <c r="J41">
        <v>0</v>
      </c>
      <c r="K41">
        <v>29584</v>
      </c>
      <c r="L41">
        <v>27846</v>
      </c>
      <c r="M41">
        <v>1</v>
      </c>
      <c r="N41">
        <v>-1947.2</v>
      </c>
      <c r="O41">
        <v>2206.8000000000002</v>
      </c>
      <c r="P41">
        <v>-19.47</v>
      </c>
      <c r="Q41">
        <v>22.07</v>
      </c>
      <c r="R41" t="s">
        <v>37</v>
      </c>
      <c r="S41" t="s">
        <v>1277</v>
      </c>
      <c r="T41" s="1">
        <v>43397.621562499997</v>
      </c>
      <c r="U41">
        <v>3</v>
      </c>
      <c r="V41" t="s">
        <v>38</v>
      </c>
      <c r="W41">
        <v>3</v>
      </c>
      <c r="X41" t="s">
        <v>109</v>
      </c>
      <c r="Y41">
        <v>34</v>
      </c>
      <c r="Z41">
        <v>74</v>
      </c>
      <c r="AA41" t="s">
        <v>190</v>
      </c>
      <c r="AB41">
        <v>2</v>
      </c>
      <c r="AC41" t="s">
        <v>41</v>
      </c>
      <c r="AD41">
        <v>320</v>
      </c>
      <c r="AE41">
        <v>333.92</v>
      </c>
      <c r="AF41">
        <v>295.83999999999997</v>
      </c>
      <c r="AG41">
        <v>278.45999999999998</v>
      </c>
      <c r="AH41" t="s">
        <v>191</v>
      </c>
    </row>
    <row r="42" spans="1:35" x14ac:dyDescent="0.25">
      <c r="A42">
        <v>68</v>
      </c>
      <c r="B42" t="s">
        <v>192</v>
      </c>
      <c r="C42" t="s">
        <v>193</v>
      </c>
      <c r="D42">
        <v>144</v>
      </c>
      <c r="E42">
        <v>2398</v>
      </c>
      <c r="F42">
        <v>83</v>
      </c>
      <c r="G42">
        <v>2300</v>
      </c>
      <c r="H42">
        <v>0</v>
      </c>
      <c r="I42">
        <v>69</v>
      </c>
      <c r="J42">
        <v>0</v>
      </c>
      <c r="K42">
        <v>2913</v>
      </c>
      <c r="L42">
        <v>2805</v>
      </c>
      <c r="M42">
        <v>1</v>
      </c>
      <c r="N42">
        <v>-141.80000000000001</v>
      </c>
      <c r="O42">
        <v>-646.79999999999995</v>
      </c>
      <c r="P42">
        <v>-1.42</v>
      </c>
      <c r="Q42">
        <v>-6.47</v>
      </c>
      <c r="R42" t="s">
        <v>59</v>
      </c>
      <c r="S42" t="s">
        <v>1277</v>
      </c>
      <c r="T42" s="1">
        <v>43397.621562499997</v>
      </c>
      <c r="U42">
        <v>2</v>
      </c>
      <c r="V42" t="s">
        <v>47</v>
      </c>
      <c r="W42">
        <v>3</v>
      </c>
      <c r="X42" t="s">
        <v>109</v>
      </c>
      <c r="Y42">
        <v>1</v>
      </c>
      <c r="Z42">
        <v>40</v>
      </c>
      <c r="AA42" t="s">
        <v>194</v>
      </c>
      <c r="AB42">
        <v>1</v>
      </c>
      <c r="AC42" t="s">
        <v>60</v>
      </c>
      <c r="AD42">
        <v>23</v>
      </c>
      <c r="AE42">
        <v>23.98</v>
      </c>
      <c r="AF42">
        <v>29.13</v>
      </c>
      <c r="AG42">
        <v>28.05</v>
      </c>
      <c r="AH42" t="s">
        <v>195</v>
      </c>
    </row>
    <row r="43" spans="1:35" x14ac:dyDescent="0.25">
      <c r="A43">
        <v>69</v>
      </c>
      <c r="B43" t="s">
        <v>196</v>
      </c>
      <c r="C43" t="s">
        <v>197</v>
      </c>
      <c r="D43">
        <v>98</v>
      </c>
      <c r="E43">
        <v>2217</v>
      </c>
      <c r="F43">
        <v>73</v>
      </c>
      <c r="G43">
        <v>1904</v>
      </c>
      <c r="H43">
        <v>0</v>
      </c>
      <c r="I43">
        <v>125</v>
      </c>
      <c r="J43">
        <v>0</v>
      </c>
      <c r="K43">
        <v>2760</v>
      </c>
      <c r="L43">
        <v>2685</v>
      </c>
      <c r="M43">
        <v>1</v>
      </c>
      <c r="N43">
        <v>91.3</v>
      </c>
      <c r="O43">
        <v>-689.7</v>
      </c>
      <c r="P43">
        <v>0.91</v>
      </c>
      <c r="Q43">
        <v>-6.9</v>
      </c>
      <c r="R43" t="s">
        <v>59</v>
      </c>
      <c r="S43" t="s">
        <v>1277</v>
      </c>
      <c r="T43" s="1">
        <v>43397.621562499997</v>
      </c>
      <c r="U43">
        <v>2</v>
      </c>
      <c r="V43" t="s">
        <v>47</v>
      </c>
      <c r="W43">
        <v>3</v>
      </c>
      <c r="X43" t="s">
        <v>109</v>
      </c>
      <c r="Y43">
        <v>33</v>
      </c>
      <c r="Z43">
        <v>39</v>
      </c>
      <c r="AA43" t="s">
        <v>198</v>
      </c>
      <c r="AB43">
        <v>1</v>
      </c>
      <c r="AC43" t="s">
        <v>60</v>
      </c>
      <c r="AD43">
        <v>19.04</v>
      </c>
      <c r="AE43">
        <v>22.17</v>
      </c>
      <c r="AF43">
        <v>27.6</v>
      </c>
      <c r="AG43">
        <v>26.85</v>
      </c>
      <c r="AH43" t="s">
        <v>199</v>
      </c>
    </row>
    <row r="44" spans="1:35" x14ac:dyDescent="0.25">
      <c r="A44">
        <v>70</v>
      </c>
      <c r="B44" t="s">
        <v>200</v>
      </c>
      <c r="C44" t="s">
        <v>125</v>
      </c>
      <c r="D44">
        <v>77</v>
      </c>
      <c r="E44">
        <v>3167</v>
      </c>
      <c r="F44">
        <v>30</v>
      </c>
      <c r="G44">
        <v>2800</v>
      </c>
      <c r="H44">
        <v>0</v>
      </c>
      <c r="I44">
        <v>110</v>
      </c>
      <c r="J44">
        <v>0</v>
      </c>
      <c r="K44">
        <v>2858</v>
      </c>
      <c r="L44">
        <v>2767</v>
      </c>
      <c r="M44">
        <v>1</v>
      </c>
      <c r="N44">
        <v>50.3</v>
      </c>
      <c r="O44">
        <v>83.3</v>
      </c>
      <c r="P44">
        <v>0.5</v>
      </c>
      <c r="Q44">
        <v>0.83</v>
      </c>
      <c r="R44" t="s">
        <v>37</v>
      </c>
      <c r="S44" t="s">
        <v>1277</v>
      </c>
      <c r="T44" s="1">
        <v>43397.621562499997</v>
      </c>
      <c r="U44">
        <v>2</v>
      </c>
      <c r="V44" t="s">
        <v>47</v>
      </c>
      <c r="W44">
        <v>2</v>
      </c>
      <c r="X44" t="s">
        <v>39</v>
      </c>
      <c r="Y44">
        <v>6</v>
      </c>
      <c r="Z44">
        <v>33</v>
      </c>
      <c r="AA44" t="s">
        <v>126</v>
      </c>
      <c r="AB44">
        <v>4</v>
      </c>
      <c r="AC44" t="s">
        <v>67</v>
      </c>
      <c r="AD44">
        <v>28</v>
      </c>
      <c r="AE44">
        <v>31.67</v>
      </c>
      <c r="AF44">
        <v>28.58</v>
      </c>
      <c r="AG44">
        <v>27.67</v>
      </c>
      <c r="AH44" t="s">
        <v>201</v>
      </c>
    </row>
    <row r="45" spans="1:35" x14ac:dyDescent="0.25">
      <c r="A45">
        <v>71</v>
      </c>
      <c r="B45" t="s">
        <v>202</v>
      </c>
      <c r="C45" t="s">
        <v>203</v>
      </c>
      <c r="D45">
        <v>50</v>
      </c>
      <c r="E45">
        <v>26026</v>
      </c>
      <c r="F45">
        <v>18</v>
      </c>
      <c r="G45">
        <v>23700</v>
      </c>
      <c r="H45">
        <v>0</v>
      </c>
      <c r="I45">
        <v>50</v>
      </c>
      <c r="J45">
        <v>0</v>
      </c>
      <c r="K45">
        <v>29532</v>
      </c>
      <c r="L45">
        <v>26982</v>
      </c>
      <c r="M45">
        <v>1</v>
      </c>
      <c r="N45">
        <v>-276.60000000000002</v>
      </c>
      <c r="O45">
        <v>-3558.6</v>
      </c>
      <c r="P45">
        <v>-2.77</v>
      </c>
      <c r="Q45">
        <v>-35.590000000000003</v>
      </c>
      <c r="R45" t="s">
        <v>59</v>
      </c>
      <c r="S45" t="s">
        <v>1277</v>
      </c>
      <c r="T45" s="1">
        <v>43397.621562499997</v>
      </c>
      <c r="U45">
        <v>3</v>
      </c>
      <c r="V45" t="s">
        <v>38</v>
      </c>
      <c r="W45">
        <v>3</v>
      </c>
      <c r="X45" t="s">
        <v>109</v>
      </c>
      <c r="Y45">
        <v>12</v>
      </c>
      <c r="Z45">
        <v>73</v>
      </c>
      <c r="AA45" t="s">
        <v>186</v>
      </c>
      <c r="AB45">
        <v>3</v>
      </c>
      <c r="AC45" t="s">
        <v>72</v>
      </c>
      <c r="AD45">
        <v>237</v>
      </c>
      <c r="AE45">
        <v>260.26</v>
      </c>
      <c r="AF45">
        <v>295.32</v>
      </c>
      <c r="AG45">
        <v>269.82</v>
      </c>
      <c r="AH45" t="s">
        <v>204</v>
      </c>
    </row>
    <row r="46" spans="1:35" x14ac:dyDescent="0.25">
      <c r="A46">
        <v>72</v>
      </c>
      <c r="B46" t="s">
        <v>205</v>
      </c>
      <c r="C46" t="s">
        <v>206</v>
      </c>
      <c r="D46">
        <v>110</v>
      </c>
      <c r="E46">
        <v>3145</v>
      </c>
      <c r="F46">
        <v>52</v>
      </c>
      <c r="G46">
        <v>2760</v>
      </c>
      <c r="H46">
        <v>0</v>
      </c>
      <c r="I46">
        <v>72</v>
      </c>
      <c r="J46">
        <v>0</v>
      </c>
      <c r="K46">
        <v>3003</v>
      </c>
      <c r="L46">
        <v>2889</v>
      </c>
      <c r="M46">
        <v>1</v>
      </c>
      <c r="N46">
        <v>70.5</v>
      </c>
      <c r="O46">
        <v>-58.5</v>
      </c>
      <c r="P46">
        <v>0.71</v>
      </c>
      <c r="Q46">
        <v>-0.59</v>
      </c>
      <c r="R46" t="s">
        <v>59</v>
      </c>
      <c r="S46" t="s">
        <v>1277</v>
      </c>
      <c r="T46" s="1">
        <v>43397.621562499997</v>
      </c>
      <c r="U46">
        <v>2</v>
      </c>
      <c r="V46" t="s">
        <v>47</v>
      </c>
      <c r="W46">
        <v>2</v>
      </c>
      <c r="X46" t="s">
        <v>39</v>
      </c>
      <c r="Y46">
        <v>21</v>
      </c>
      <c r="Z46">
        <v>24</v>
      </c>
      <c r="AA46" t="s">
        <v>207</v>
      </c>
      <c r="AB46">
        <v>2</v>
      </c>
      <c r="AC46" t="s">
        <v>41</v>
      </c>
      <c r="AD46">
        <v>27.6</v>
      </c>
      <c r="AE46">
        <v>31.45</v>
      </c>
      <c r="AF46">
        <v>30.03</v>
      </c>
      <c r="AG46">
        <v>28.89</v>
      </c>
      <c r="AH46" t="s">
        <v>208</v>
      </c>
    </row>
    <row r="47" spans="1:35" x14ac:dyDescent="0.25">
      <c r="A47">
        <v>73</v>
      </c>
      <c r="B47" t="s">
        <v>209</v>
      </c>
      <c r="C47" t="s">
        <v>129</v>
      </c>
      <c r="D47">
        <v>38</v>
      </c>
      <c r="E47">
        <v>3551</v>
      </c>
      <c r="F47">
        <v>49</v>
      </c>
      <c r="G47">
        <v>2813</v>
      </c>
      <c r="H47">
        <v>0</v>
      </c>
      <c r="I47">
        <v>99</v>
      </c>
      <c r="J47">
        <v>0</v>
      </c>
      <c r="K47">
        <v>2736</v>
      </c>
      <c r="L47">
        <v>2646</v>
      </c>
      <c r="M47">
        <v>1</v>
      </c>
      <c r="N47">
        <v>382.9</v>
      </c>
      <c r="O47">
        <v>549.9</v>
      </c>
      <c r="P47">
        <v>3.83</v>
      </c>
      <c r="Q47">
        <v>5.5</v>
      </c>
      <c r="R47" t="s">
        <v>37</v>
      </c>
      <c r="S47" t="s">
        <v>1277</v>
      </c>
      <c r="T47" s="1">
        <v>43397.621562499997</v>
      </c>
      <c r="U47">
        <v>2</v>
      </c>
      <c r="V47" t="s">
        <v>47</v>
      </c>
      <c r="W47">
        <v>2</v>
      </c>
      <c r="X47" t="s">
        <v>39</v>
      </c>
      <c r="Y47">
        <v>19</v>
      </c>
      <c r="Z47">
        <v>23</v>
      </c>
      <c r="AA47" t="s">
        <v>130</v>
      </c>
      <c r="AB47">
        <v>2</v>
      </c>
      <c r="AC47" t="s">
        <v>41</v>
      </c>
      <c r="AD47">
        <v>28.13</v>
      </c>
      <c r="AE47">
        <v>35.51</v>
      </c>
      <c r="AF47">
        <v>27.36</v>
      </c>
      <c r="AG47">
        <v>26.46</v>
      </c>
      <c r="AH47" t="s">
        <v>210</v>
      </c>
    </row>
    <row r="48" spans="1:35" x14ac:dyDescent="0.25">
      <c r="A48">
        <v>74</v>
      </c>
      <c r="B48" t="s">
        <v>211</v>
      </c>
      <c r="C48" t="s">
        <v>212</v>
      </c>
      <c r="D48">
        <v>62</v>
      </c>
      <c r="E48">
        <v>3162</v>
      </c>
      <c r="F48">
        <v>48</v>
      </c>
      <c r="G48">
        <v>2711</v>
      </c>
      <c r="H48">
        <v>0</v>
      </c>
      <c r="I48">
        <v>93</v>
      </c>
      <c r="J48">
        <v>0</v>
      </c>
      <c r="K48">
        <v>2897</v>
      </c>
      <c r="L48">
        <v>2807</v>
      </c>
      <c r="M48">
        <v>1</v>
      </c>
      <c r="N48">
        <v>134.80000000000001</v>
      </c>
      <c r="O48">
        <v>38.799999999999997</v>
      </c>
      <c r="P48">
        <v>1.35</v>
      </c>
      <c r="Q48">
        <v>0.39</v>
      </c>
      <c r="R48" t="s">
        <v>59</v>
      </c>
      <c r="S48" t="s">
        <v>1277</v>
      </c>
      <c r="T48" s="1">
        <v>43397.621562499997</v>
      </c>
      <c r="U48">
        <v>2</v>
      </c>
      <c r="V48" t="s">
        <v>47</v>
      </c>
      <c r="W48">
        <v>2</v>
      </c>
      <c r="X48" t="s">
        <v>39</v>
      </c>
      <c r="Y48">
        <v>13</v>
      </c>
      <c r="Z48">
        <v>12</v>
      </c>
      <c r="AA48" t="s">
        <v>213</v>
      </c>
      <c r="AB48">
        <v>3</v>
      </c>
      <c r="AC48" t="s">
        <v>72</v>
      </c>
      <c r="AD48">
        <v>27.11</v>
      </c>
      <c r="AE48">
        <v>31.62</v>
      </c>
      <c r="AF48">
        <v>28.97</v>
      </c>
      <c r="AG48">
        <v>28.07</v>
      </c>
      <c r="AH48" t="s">
        <v>214</v>
      </c>
    </row>
    <row r="49" spans="1:35" x14ac:dyDescent="0.25">
      <c r="A49">
        <v>75</v>
      </c>
      <c r="B49" t="s">
        <v>215</v>
      </c>
      <c r="C49" t="s">
        <v>216</v>
      </c>
      <c r="D49">
        <v>49</v>
      </c>
      <c r="E49">
        <v>33334</v>
      </c>
      <c r="F49">
        <v>23</v>
      </c>
      <c r="G49">
        <v>32541</v>
      </c>
      <c r="H49">
        <v>0</v>
      </c>
      <c r="I49">
        <v>44</v>
      </c>
      <c r="J49">
        <v>0</v>
      </c>
      <c r="K49">
        <v>29788</v>
      </c>
      <c r="L49">
        <v>28086</v>
      </c>
      <c r="M49">
        <v>1</v>
      </c>
      <c r="N49">
        <v>-2540.4</v>
      </c>
      <c r="O49">
        <v>1914.6</v>
      </c>
      <c r="P49">
        <v>-25.4</v>
      </c>
      <c r="Q49">
        <v>19.149999999999999</v>
      </c>
      <c r="R49" t="s">
        <v>37</v>
      </c>
      <c r="S49" t="s">
        <v>1277</v>
      </c>
      <c r="T49" s="1">
        <v>43397.621562499997</v>
      </c>
      <c r="U49">
        <v>3</v>
      </c>
      <c r="V49" t="s">
        <v>38</v>
      </c>
      <c r="W49">
        <v>3</v>
      </c>
      <c r="X49" t="s">
        <v>109</v>
      </c>
      <c r="Y49">
        <v>1</v>
      </c>
      <c r="Z49">
        <v>57</v>
      </c>
      <c r="AA49" t="s">
        <v>194</v>
      </c>
      <c r="AB49">
        <v>4</v>
      </c>
      <c r="AC49" t="s">
        <v>67</v>
      </c>
      <c r="AD49">
        <v>325.41000000000003</v>
      </c>
      <c r="AE49">
        <v>333.34</v>
      </c>
      <c r="AF49">
        <v>297.88</v>
      </c>
      <c r="AG49">
        <v>280.86</v>
      </c>
      <c r="AH49" t="s">
        <v>217</v>
      </c>
    </row>
    <row r="50" spans="1:35" x14ac:dyDescent="0.25">
      <c r="A50">
        <v>77</v>
      </c>
      <c r="B50" t="s">
        <v>218</v>
      </c>
      <c r="C50" t="s">
        <v>219</v>
      </c>
      <c r="D50">
        <v>29</v>
      </c>
      <c r="E50">
        <v>3242</v>
      </c>
      <c r="F50">
        <v>37</v>
      </c>
      <c r="G50">
        <v>2831</v>
      </c>
      <c r="H50">
        <v>0</v>
      </c>
      <c r="I50">
        <v>131</v>
      </c>
      <c r="J50">
        <v>0</v>
      </c>
      <c r="K50">
        <v>2858</v>
      </c>
      <c r="L50">
        <v>2773</v>
      </c>
      <c r="M50">
        <v>1</v>
      </c>
      <c r="N50">
        <v>86.8</v>
      </c>
      <c r="O50">
        <v>144.80000000000001</v>
      </c>
      <c r="P50">
        <v>0.87</v>
      </c>
      <c r="Q50">
        <v>1.45</v>
      </c>
      <c r="R50" t="s">
        <v>37</v>
      </c>
      <c r="S50" t="s">
        <v>1277</v>
      </c>
      <c r="T50" s="1">
        <v>43397.621562499997</v>
      </c>
      <c r="U50">
        <v>2</v>
      </c>
      <c r="V50" t="s">
        <v>47</v>
      </c>
      <c r="W50">
        <v>3</v>
      </c>
      <c r="X50" t="s">
        <v>109</v>
      </c>
      <c r="Y50">
        <v>14</v>
      </c>
      <c r="Z50">
        <v>29</v>
      </c>
      <c r="AA50" t="s">
        <v>110</v>
      </c>
      <c r="AB50">
        <v>2</v>
      </c>
      <c r="AC50" t="s">
        <v>41</v>
      </c>
      <c r="AD50">
        <v>28.31</v>
      </c>
      <c r="AE50">
        <v>32.42</v>
      </c>
      <c r="AF50">
        <v>28.58</v>
      </c>
      <c r="AG50">
        <v>27.73</v>
      </c>
      <c r="AH50" t="s">
        <v>220</v>
      </c>
    </row>
    <row r="51" spans="1:35" x14ac:dyDescent="0.25">
      <c r="A51">
        <v>78</v>
      </c>
      <c r="B51" t="s">
        <v>221</v>
      </c>
      <c r="C51" t="s">
        <v>222</v>
      </c>
      <c r="D51">
        <v>44</v>
      </c>
      <c r="E51">
        <v>2427</v>
      </c>
      <c r="F51">
        <v>42</v>
      </c>
      <c r="G51">
        <v>2201</v>
      </c>
      <c r="H51">
        <v>0</v>
      </c>
      <c r="I51">
        <v>88</v>
      </c>
      <c r="J51">
        <v>0</v>
      </c>
      <c r="K51">
        <v>3188</v>
      </c>
      <c r="L51">
        <v>3044</v>
      </c>
      <c r="M51">
        <v>1</v>
      </c>
      <c r="N51">
        <v>-16.7</v>
      </c>
      <c r="O51">
        <v>-859.7</v>
      </c>
      <c r="P51">
        <v>-0.17</v>
      </c>
      <c r="Q51">
        <v>-8.6</v>
      </c>
      <c r="R51" t="s">
        <v>59</v>
      </c>
      <c r="S51" t="s">
        <v>1277</v>
      </c>
      <c r="T51" s="1">
        <v>43397.621562499997</v>
      </c>
      <c r="U51">
        <v>2</v>
      </c>
      <c r="V51" t="s">
        <v>47</v>
      </c>
      <c r="W51">
        <v>3</v>
      </c>
      <c r="X51" t="s">
        <v>109</v>
      </c>
      <c r="Y51">
        <v>34</v>
      </c>
      <c r="Z51">
        <v>38</v>
      </c>
      <c r="AA51" t="s">
        <v>190</v>
      </c>
      <c r="AB51">
        <v>1</v>
      </c>
      <c r="AC51" t="s">
        <v>60</v>
      </c>
      <c r="AD51">
        <v>22.01</v>
      </c>
      <c r="AE51">
        <v>24.27</v>
      </c>
      <c r="AF51">
        <v>31.88</v>
      </c>
      <c r="AG51">
        <v>30.44</v>
      </c>
      <c r="AH51" t="s">
        <v>223</v>
      </c>
    </row>
    <row r="52" spans="1:35" x14ac:dyDescent="0.25">
      <c r="A52">
        <v>79</v>
      </c>
      <c r="B52" t="s">
        <v>224</v>
      </c>
      <c r="C52" t="s">
        <v>225</v>
      </c>
      <c r="D52">
        <v>17</v>
      </c>
      <c r="E52">
        <v>31389</v>
      </c>
      <c r="F52">
        <v>15</v>
      </c>
      <c r="G52">
        <v>28302</v>
      </c>
      <c r="H52">
        <v>0</v>
      </c>
      <c r="I52">
        <v>128</v>
      </c>
      <c r="J52">
        <v>0</v>
      </c>
      <c r="K52">
        <v>29462</v>
      </c>
      <c r="L52">
        <v>27372</v>
      </c>
      <c r="M52">
        <v>1</v>
      </c>
      <c r="N52">
        <v>-51.9</v>
      </c>
      <c r="O52">
        <v>878.1</v>
      </c>
      <c r="P52">
        <v>-0.52</v>
      </c>
      <c r="Q52">
        <v>8.7799999999999994</v>
      </c>
      <c r="R52" t="s">
        <v>37</v>
      </c>
      <c r="S52" t="s">
        <v>1277</v>
      </c>
      <c r="T52" s="1">
        <v>43397.621562499997</v>
      </c>
      <c r="U52">
        <v>3</v>
      </c>
      <c r="V52" t="s">
        <v>38</v>
      </c>
      <c r="W52">
        <v>2</v>
      </c>
      <c r="X52" t="s">
        <v>39</v>
      </c>
      <c r="Y52">
        <v>9</v>
      </c>
      <c r="Z52">
        <v>63</v>
      </c>
      <c r="AA52" t="s">
        <v>226</v>
      </c>
      <c r="AB52">
        <v>3</v>
      </c>
      <c r="AC52" t="s">
        <v>72</v>
      </c>
      <c r="AD52">
        <v>283.02</v>
      </c>
      <c r="AE52">
        <v>313.89</v>
      </c>
      <c r="AF52">
        <v>294.62</v>
      </c>
      <c r="AG52">
        <v>273.72000000000003</v>
      </c>
      <c r="AH52" t="s">
        <v>227</v>
      </c>
      <c r="AI52" t="s">
        <v>43</v>
      </c>
    </row>
    <row r="53" spans="1:35" x14ac:dyDescent="0.25">
      <c r="A53">
        <v>80</v>
      </c>
      <c r="B53" t="s">
        <v>228</v>
      </c>
      <c r="C53" t="s">
        <v>229</v>
      </c>
      <c r="D53">
        <v>26</v>
      </c>
      <c r="E53">
        <v>3248</v>
      </c>
      <c r="F53">
        <v>57</v>
      </c>
      <c r="G53">
        <v>3100</v>
      </c>
      <c r="H53">
        <v>0</v>
      </c>
      <c r="I53">
        <v>120</v>
      </c>
      <c r="J53">
        <v>0</v>
      </c>
      <c r="K53">
        <v>3365</v>
      </c>
      <c r="L53">
        <v>3177</v>
      </c>
      <c r="M53">
        <v>1</v>
      </c>
      <c r="N53">
        <v>-176.8</v>
      </c>
      <c r="O53">
        <v>-253.8</v>
      </c>
      <c r="P53">
        <v>-1.77</v>
      </c>
      <c r="Q53">
        <v>-2.54</v>
      </c>
      <c r="R53" t="s">
        <v>59</v>
      </c>
      <c r="S53" t="s">
        <v>1277</v>
      </c>
      <c r="T53" s="1">
        <v>43397.621562499997</v>
      </c>
      <c r="U53">
        <v>2</v>
      </c>
      <c r="V53" t="s">
        <v>47</v>
      </c>
      <c r="W53">
        <v>3</v>
      </c>
      <c r="X53" t="s">
        <v>109</v>
      </c>
      <c r="Y53">
        <v>12</v>
      </c>
      <c r="Z53">
        <v>27</v>
      </c>
      <c r="AA53" t="s">
        <v>186</v>
      </c>
      <c r="AB53">
        <v>2</v>
      </c>
      <c r="AC53" t="s">
        <v>41</v>
      </c>
      <c r="AD53">
        <v>31</v>
      </c>
      <c r="AE53">
        <v>32.479999999999997</v>
      </c>
      <c r="AF53">
        <v>33.65</v>
      </c>
      <c r="AG53">
        <v>31.77</v>
      </c>
      <c r="AH53" t="s">
        <v>230</v>
      </c>
    </row>
    <row r="54" spans="1:35" x14ac:dyDescent="0.25">
      <c r="A54">
        <v>81</v>
      </c>
      <c r="B54" t="s">
        <v>231</v>
      </c>
      <c r="C54" t="s">
        <v>43</v>
      </c>
      <c r="D54">
        <v>25</v>
      </c>
      <c r="E54">
        <v>14999</v>
      </c>
      <c r="F54">
        <v>34</v>
      </c>
      <c r="G54">
        <v>10000</v>
      </c>
      <c r="H54">
        <v>0</v>
      </c>
      <c r="I54">
        <v>286</v>
      </c>
      <c r="J54">
        <v>0</v>
      </c>
      <c r="K54">
        <v>1176</v>
      </c>
      <c r="L54">
        <v>1173</v>
      </c>
      <c r="M54">
        <v>1</v>
      </c>
      <c r="N54">
        <v>3499.1</v>
      </c>
      <c r="O54">
        <v>12326.1</v>
      </c>
      <c r="P54">
        <v>34.99</v>
      </c>
      <c r="Q54">
        <v>123.26</v>
      </c>
      <c r="R54" t="s">
        <v>37</v>
      </c>
      <c r="S54" t="s">
        <v>1277</v>
      </c>
      <c r="T54" s="1">
        <v>43397.621562499997</v>
      </c>
      <c r="U54">
        <v>1</v>
      </c>
      <c r="V54" t="s">
        <v>44</v>
      </c>
      <c r="W54">
        <v>8</v>
      </c>
      <c r="X54" t="s">
        <v>118</v>
      </c>
      <c r="Y54">
        <v>8</v>
      </c>
      <c r="Z54">
        <v>51</v>
      </c>
      <c r="AA54" t="s">
        <v>232</v>
      </c>
      <c r="AB54">
        <v>1</v>
      </c>
      <c r="AC54" t="s">
        <v>60</v>
      </c>
      <c r="AD54">
        <v>100</v>
      </c>
      <c r="AE54">
        <v>149.99</v>
      </c>
      <c r="AF54">
        <v>11.76</v>
      </c>
      <c r="AG54">
        <v>11.73</v>
      </c>
      <c r="AH54" t="s">
        <v>233</v>
      </c>
      <c r="AI54" t="s">
        <v>43</v>
      </c>
    </row>
    <row r="55" spans="1:35" x14ac:dyDescent="0.25">
      <c r="A55">
        <v>82</v>
      </c>
      <c r="B55" t="s">
        <v>234</v>
      </c>
      <c r="C55" t="s">
        <v>235</v>
      </c>
      <c r="D55">
        <v>57</v>
      </c>
      <c r="E55">
        <v>32400</v>
      </c>
      <c r="F55">
        <v>12</v>
      </c>
      <c r="G55">
        <v>31002</v>
      </c>
      <c r="H55">
        <v>0</v>
      </c>
      <c r="I55">
        <v>83</v>
      </c>
      <c r="J55">
        <v>0</v>
      </c>
      <c r="K55">
        <v>28902</v>
      </c>
      <c r="L55">
        <v>26882</v>
      </c>
      <c r="M55">
        <v>1</v>
      </c>
      <c r="N55">
        <v>-1842</v>
      </c>
      <c r="O55">
        <v>2278</v>
      </c>
      <c r="P55">
        <v>-18.420000000000002</v>
      </c>
      <c r="Q55">
        <v>22.78</v>
      </c>
      <c r="R55" t="s">
        <v>37</v>
      </c>
      <c r="S55" t="s">
        <v>1277</v>
      </c>
      <c r="T55" s="1">
        <v>43397.621562499997</v>
      </c>
      <c r="U55">
        <v>3</v>
      </c>
      <c r="V55" t="s">
        <v>38</v>
      </c>
      <c r="W55">
        <v>3</v>
      </c>
      <c r="X55" t="s">
        <v>109</v>
      </c>
      <c r="Y55">
        <v>28</v>
      </c>
      <c r="Z55">
        <v>72</v>
      </c>
      <c r="AA55" t="s">
        <v>236</v>
      </c>
      <c r="AB55">
        <v>3</v>
      </c>
      <c r="AC55" t="s">
        <v>72</v>
      </c>
      <c r="AD55">
        <v>310.02</v>
      </c>
      <c r="AE55">
        <v>324</v>
      </c>
      <c r="AF55">
        <v>289.02</v>
      </c>
      <c r="AG55">
        <v>268.82</v>
      </c>
      <c r="AH55" t="s">
        <v>237</v>
      </c>
    </row>
    <row r="56" spans="1:35" x14ac:dyDescent="0.25">
      <c r="A56">
        <v>83</v>
      </c>
      <c r="B56" t="s">
        <v>238</v>
      </c>
      <c r="C56" t="s">
        <v>239</v>
      </c>
      <c r="D56">
        <v>93</v>
      </c>
      <c r="E56">
        <v>3433</v>
      </c>
      <c r="F56">
        <v>71</v>
      </c>
      <c r="G56">
        <v>3203</v>
      </c>
      <c r="H56">
        <v>0</v>
      </c>
      <c r="I56">
        <v>54</v>
      </c>
      <c r="J56">
        <v>0</v>
      </c>
      <c r="K56">
        <v>3047</v>
      </c>
      <c r="L56">
        <v>2907</v>
      </c>
      <c r="M56">
        <v>1</v>
      </c>
      <c r="N56">
        <v>-113.3</v>
      </c>
      <c r="O56">
        <v>182.7</v>
      </c>
      <c r="P56">
        <v>-1.1299999999999999</v>
      </c>
      <c r="Q56">
        <v>1.83</v>
      </c>
      <c r="R56" t="s">
        <v>37</v>
      </c>
      <c r="S56" t="s">
        <v>1277</v>
      </c>
      <c r="T56" s="1">
        <v>43397.621562499997</v>
      </c>
      <c r="U56">
        <v>2</v>
      </c>
      <c r="V56" t="s">
        <v>47</v>
      </c>
      <c r="W56">
        <v>4</v>
      </c>
      <c r="X56" t="s">
        <v>114</v>
      </c>
      <c r="Y56">
        <v>35</v>
      </c>
      <c r="Z56">
        <v>8</v>
      </c>
      <c r="AA56" t="s">
        <v>165</v>
      </c>
      <c r="AB56">
        <v>4</v>
      </c>
      <c r="AC56" t="s">
        <v>67</v>
      </c>
      <c r="AD56">
        <v>32.03</v>
      </c>
      <c r="AE56">
        <v>34.33</v>
      </c>
      <c r="AF56">
        <v>30.47</v>
      </c>
      <c r="AG56">
        <v>29.07</v>
      </c>
      <c r="AH56" t="s">
        <v>240</v>
      </c>
    </row>
    <row r="57" spans="1:35" x14ac:dyDescent="0.25">
      <c r="A57">
        <v>84</v>
      </c>
      <c r="B57" t="s">
        <v>241</v>
      </c>
      <c r="C57" t="s">
        <v>242</v>
      </c>
      <c r="D57">
        <v>122</v>
      </c>
      <c r="E57">
        <v>32000</v>
      </c>
      <c r="F57">
        <v>75</v>
      </c>
      <c r="G57">
        <v>31600</v>
      </c>
      <c r="H57">
        <v>0</v>
      </c>
      <c r="I57">
        <v>23</v>
      </c>
      <c r="J57">
        <v>0</v>
      </c>
      <c r="K57">
        <v>29326</v>
      </c>
      <c r="L57">
        <v>27662</v>
      </c>
      <c r="M57">
        <v>1</v>
      </c>
      <c r="N57">
        <v>-2800</v>
      </c>
      <c r="O57">
        <v>1138</v>
      </c>
      <c r="P57">
        <v>-28</v>
      </c>
      <c r="Q57">
        <v>11.38</v>
      </c>
      <c r="R57" t="s">
        <v>37</v>
      </c>
      <c r="S57" t="s">
        <v>1277</v>
      </c>
      <c r="T57" s="1">
        <v>43397.621562499997</v>
      </c>
      <c r="U57">
        <v>3</v>
      </c>
      <c r="V57" t="s">
        <v>38</v>
      </c>
      <c r="W57">
        <v>2</v>
      </c>
      <c r="X57" t="s">
        <v>39</v>
      </c>
      <c r="Y57">
        <v>21</v>
      </c>
      <c r="Z57">
        <v>70</v>
      </c>
      <c r="AA57" t="s">
        <v>207</v>
      </c>
      <c r="AB57">
        <v>2</v>
      </c>
      <c r="AC57" t="s">
        <v>41</v>
      </c>
      <c r="AD57">
        <v>316</v>
      </c>
      <c r="AE57">
        <v>320</v>
      </c>
      <c r="AF57">
        <v>293.26</v>
      </c>
      <c r="AG57">
        <v>276.62</v>
      </c>
      <c r="AH57" t="s">
        <v>243</v>
      </c>
    </row>
    <row r="58" spans="1:35" x14ac:dyDescent="0.25">
      <c r="A58">
        <v>85</v>
      </c>
      <c r="B58" t="s">
        <v>244</v>
      </c>
      <c r="C58" t="s">
        <v>43</v>
      </c>
      <c r="D58">
        <v>477</v>
      </c>
      <c r="E58">
        <v>669</v>
      </c>
      <c r="F58">
        <v>212</v>
      </c>
      <c r="G58">
        <v>655</v>
      </c>
      <c r="H58">
        <v>0</v>
      </c>
      <c r="I58">
        <v>21</v>
      </c>
      <c r="J58">
        <v>0</v>
      </c>
      <c r="K58">
        <v>0</v>
      </c>
      <c r="L58">
        <v>0</v>
      </c>
      <c r="M58">
        <v>100</v>
      </c>
      <c r="N58">
        <v>-52.9</v>
      </c>
      <c r="O58">
        <v>602.1</v>
      </c>
      <c r="P58" s="2">
        <v>-0.53</v>
      </c>
      <c r="Q58">
        <v>6.02</v>
      </c>
      <c r="R58" t="s">
        <v>37</v>
      </c>
      <c r="S58" t="s">
        <v>1277</v>
      </c>
      <c r="T58" s="1">
        <v>43397.621562499997</v>
      </c>
      <c r="U58">
        <v>1</v>
      </c>
      <c r="V58" t="s">
        <v>44</v>
      </c>
      <c r="W58">
        <v>8</v>
      </c>
      <c r="X58" t="s">
        <v>118</v>
      </c>
      <c r="Y58">
        <v>25</v>
      </c>
      <c r="Z58">
        <v>0</v>
      </c>
      <c r="AA58" t="s">
        <v>119</v>
      </c>
      <c r="AB58">
        <v>0</v>
      </c>
      <c r="AC58" t="s">
        <v>43</v>
      </c>
      <c r="AD58">
        <v>6.55</v>
      </c>
      <c r="AE58">
        <v>6.69</v>
      </c>
      <c r="AF58">
        <v>0</v>
      </c>
      <c r="AG58">
        <v>0</v>
      </c>
      <c r="AH58" t="s">
        <v>245</v>
      </c>
      <c r="AI58" t="s">
        <v>43</v>
      </c>
    </row>
    <row r="59" spans="1:35" x14ac:dyDescent="0.25">
      <c r="A59">
        <v>86</v>
      </c>
      <c r="B59" t="s">
        <v>246</v>
      </c>
      <c r="C59" t="s">
        <v>247</v>
      </c>
      <c r="D59">
        <v>54</v>
      </c>
      <c r="E59">
        <v>33094</v>
      </c>
      <c r="F59">
        <v>31</v>
      </c>
      <c r="G59">
        <v>32400</v>
      </c>
      <c r="H59">
        <v>0</v>
      </c>
      <c r="I59">
        <v>16</v>
      </c>
      <c r="J59">
        <v>0</v>
      </c>
      <c r="K59">
        <v>29776</v>
      </c>
      <c r="L59">
        <v>28408</v>
      </c>
      <c r="M59">
        <v>1</v>
      </c>
      <c r="N59">
        <v>-2615.4</v>
      </c>
      <c r="O59">
        <v>1376.6</v>
      </c>
      <c r="P59">
        <v>-26.15</v>
      </c>
      <c r="Q59">
        <v>13.77</v>
      </c>
      <c r="R59" t="s">
        <v>37</v>
      </c>
      <c r="S59" t="s">
        <v>1277</v>
      </c>
      <c r="T59" s="1">
        <v>43397.621562499997</v>
      </c>
      <c r="U59">
        <v>3</v>
      </c>
      <c r="V59" t="s">
        <v>38</v>
      </c>
      <c r="W59">
        <v>3</v>
      </c>
      <c r="X59" t="s">
        <v>109</v>
      </c>
      <c r="Y59">
        <v>34</v>
      </c>
      <c r="Z59">
        <v>66</v>
      </c>
      <c r="AA59" t="s">
        <v>190</v>
      </c>
      <c r="AB59">
        <v>3</v>
      </c>
      <c r="AC59" t="s">
        <v>72</v>
      </c>
      <c r="AD59">
        <v>324</v>
      </c>
      <c r="AE59">
        <v>330.94</v>
      </c>
      <c r="AF59">
        <v>297.76</v>
      </c>
      <c r="AG59">
        <v>284.08</v>
      </c>
      <c r="AH59" t="s">
        <v>248</v>
      </c>
    </row>
    <row r="60" spans="1:35" x14ac:dyDescent="0.25">
      <c r="A60">
        <v>87</v>
      </c>
      <c r="B60" t="s">
        <v>249</v>
      </c>
      <c r="C60" t="s">
        <v>250</v>
      </c>
      <c r="D60">
        <v>167</v>
      </c>
      <c r="E60">
        <v>2121</v>
      </c>
      <c r="F60">
        <v>45</v>
      </c>
      <c r="G60">
        <v>1804</v>
      </c>
      <c r="H60">
        <v>0</v>
      </c>
      <c r="I60">
        <v>154</v>
      </c>
      <c r="J60">
        <v>0</v>
      </c>
      <c r="K60">
        <v>2768</v>
      </c>
      <c r="L60">
        <v>2671</v>
      </c>
      <c r="M60">
        <v>1</v>
      </c>
      <c r="N60">
        <v>104.9</v>
      </c>
      <c r="O60">
        <v>-762.1</v>
      </c>
      <c r="P60">
        <v>1.05</v>
      </c>
      <c r="Q60">
        <v>-7.62</v>
      </c>
      <c r="R60" t="s">
        <v>59</v>
      </c>
      <c r="S60" t="s">
        <v>1277</v>
      </c>
      <c r="T60" s="1">
        <v>43397.621562499997</v>
      </c>
      <c r="U60">
        <v>2</v>
      </c>
      <c r="V60" t="s">
        <v>47</v>
      </c>
      <c r="W60">
        <v>4</v>
      </c>
      <c r="X60" t="s">
        <v>114</v>
      </c>
      <c r="Y60">
        <v>35</v>
      </c>
      <c r="Z60">
        <v>18</v>
      </c>
      <c r="AA60" t="s">
        <v>165</v>
      </c>
      <c r="AB60">
        <v>2</v>
      </c>
      <c r="AC60" t="s">
        <v>41</v>
      </c>
      <c r="AD60">
        <v>18.04</v>
      </c>
      <c r="AE60">
        <v>21.21</v>
      </c>
      <c r="AF60">
        <v>27.68</v>
      </c>
      <c r="AG60">
        <v>26.71</v>
      </c>
      <c r="AH60" t="s">
        <v>251</v>
      </c>
    </row>
    <row r="61" spans="1:35" x14ac:dyDescent="0.25">
      <c r="A61">
        <v>88</v>
      </c>
      <c r="B61" t="s">
        <v>252</v>
      </c>
      <c r="C61" t="s">
        <v>253</v>
      </c>
      <c r="D61">
        <v>202</v>
      </c>
      <c r="E61">
        <v>12</v>
      </c>
      <c r="F61">
        <v>104</v>
      </c>
      <c r="G61">
        <v>11</v>
      </c>
      <c r="H61">
        <v>0</v>
      </c>
      <c r="I61">
        <v>342</v>
      </c>
      <c r="J61">
        <v>0</v>
      </c>
      <c r="K61">
        <v>196</v>
      </c>
      <c r="L61">
        <v>196</v>
      </c>
      <c r="M61">
        <v>1</v>
      </c>
      <c r="N61">
        <v>-0.2</v>
      </c>
      <c r="O61">
        <v>-185.2</v>
      </c>
      <c r="P61">
        <v>0</v>
      </c>
      <c r="Q61">
        <v>-1.85</v>
      </c>
      <c r="R61" t="s">
        <v>59</v>
      </c>
      <c r="S61" t="s">
        <v>1277</v>
      </c>
      <c r="T61" s="1">
        <v>43397.621562499997</v>
      </c>
      <c r="U61">
        <v>1</v>
      </c>
      <c r="V61" t="s">
        <v>44</v>
      </c>
      <c r="W61">
        <v>1</v>
      </c>
      <c r="X61" t="s">
        <v>101</v>
      </c>
      <c r="Y61">
        <v>5</v>
      </c>
      <c r="Z61">
        <v>117</v>
      </c>
      <c r="AA61" t="s">
        <v>182</v>
      </c>
      <c r="AB61">
        <v>1</v>
      </c>
      <c r="AC61" t="s">
        <v>60</v>
      </c>
      <c r="AD61">
        <v>0.11</v>
      </c>
      <c r="AE61">
        <v>0.12</v>
      </c>
      <c r="AF61">
        <v>1.96</v>
      </c>
      <c r="AG61">
        <v>1.96</v>
      </c>
      <c r="AH61" t="s">
        <v>254</v>
      </c>
    </row>
    <row r="62" spans="1:35" x14ac:dyDescent="0.25">
      <c r="A62">
        <v>89</v>
      </c>
      <c r="B62" t="s">
        <v>255</v>
      </c>
      <c r="C62" t="s">
        <v>256</v>
      </c>
      <c r="D62">
        <v>286</v>
      </c>
      <c r="E62">
        <v>1942</v>
      </c>
      <c r="F62">
        <v>80</v>
      </c>
      <c r="G62">
        <v>1934</v>
      </c>
      <c r="H62">
        <v>0</v>
      </c>
      <c r="I62">
        <v>143</v>
      </c>
      <c r="J62">
        <v>0</v>
      </c>
      <c r="K62">
        <v>0</v>
      </c>
      <c r="L62">
        <v>0</v>
      </c>
      <c r="M62">
        <v>1</v>
      </c>
      <c r="N62">
        <v>-186.2</v>
      </c>
      <c r="O62">
        <v>1747.8</v>
      </c>
      <c r="P62">
        <v>-1.86</v>
      </c>
      <c r="Q62">
        <v>17.48</v>
      </c>
      <c r="R62" t="s">
        <v>37</v>
      </c>
      <c r="S62" t="s">
        <v>1277</v>
      </c>
      <c r="T62" s="1">
        <v>43397.621562499997</v>
      </c>
      <c r="U62">
        <v>4</v>
      </c>
      <c r="V62" t="s">
        <v>55</v>
      </c>
      <c r="W62">
        <v>8</v>
      </c>
      <c r="X62" t="s">
        <v>118</v>
      </c>
      <c r="Y62">
        <v>7</v>
      </c>
      <c r="Z62">
        <v>0</v>
      </c>
      <c r="AA62" t="s">
        <v>257</v>
      </c>
      <c r="AB62">
        <v>0</v>
      </c>
      <c r="AC62" t="s">
        <v>43</v>
      </c>
      <c r="AD62">
        <v>19.34</v>
      </c>
      <c r="AE62">
        <v>19.420000000000002</v>
      </c>
      <c r="AF62">
        <v>0</v>
      </c>
      <c r="AG62">
        <v>0</v>
      </c>
      <c r="AH62" t="s">
        <v>258</v>
      </c>
      <c r="AI62" t="s">
        <v>43</v>
      </c>
    </row>
    <row r="63" spans="1:35" x14ac:dyDescent="0.25">
      <c r="A63">
        <v>90</v>
      </c>
      <c r="B63" t="s">
        <v>259</v>
      </c>
      <c r="C63" t="s">
        <v>260</v>
      </c>
      <c r="D63">
        <v>11</v>
      </c>
      <c r="E63">
        <v>270000</v>
      </c>
      <c r="F63">
        <v>29</v>
      </c>
      <c r="G63">
        <v>70000</v>
      </c>
      <c r="H63">
        <v>0</v>
      </c>
      <c r="I63">
        <v>292</v>
      </c>
      <c r="J63">
        <v>1</v>
      </c>
      <c r="K63">
        <v>882</v>
      </c>
      <c r="L63">
        <v>780</v>
      </c>
      <c r="M63">
        <v>1</v>
      </c>
      <c r="N63">
        <v>173000</v>
      </c>
      <c r="O63">
        <v>242220</v>
      </c>
      <c r="P63">
        <v>1730</v>
      </c>
      <c r="Q63">
        <v>2422.1999999999998</v>
      </c>
      <c r="R63" t="s">
        <v>37</v>
      </c>
      <c r="S63" t="s">
        <v>1277</v>
      </c>
      <c r="T63" s="1">
        <v>43397.621562499997</v>
      </c>
      <c r="U63">
        <v>2</v>
      </c>
      <c r="V63" t="s">
        <v>47</v>
      </c>
      <c r="W63">
        <v>8</v>
      </c>
      <c r="X63" t="s">
        <v>118</v>
      </c>
      <c r="Y63">
        <v>8</v>
      </c>
      <c r="Z63">
        <v>49</v>
      </c>
      <c r="AA63" t="s">
        <v>232</v>
      </c>
      <c r="AB63">
        <v>1</v>
      </c>
      <c r="AC63" t="s">
        <v>60</v>
      </c>
      <c r="AD63">
        <v>700</v>
      </c>
      <c r="AE63">
        <v>2700</v>
      </c>
      <c r="AF63">
        <v>8.82</v>
      </c>
      <c r="AG63">
        <v>7.8</v>
      </c>
      <c r="AH63" t="s">
        <v>261</v>
      </c>
      <c r="AI63" t="s">
        <v>43</v>
      </c>
    </row>
    <row r="64" spans="1:35" x14ac:dyDescent="0.25">
      <c r="A64">
        <v>91</v>
      </c>
      <c r="B64" t="s">
        <v>262</v>
      </c>
      <c r="C64" t="s">
        <v>239</v>
      </c>
      <c r="D64">
        <v>81</v>
      </c>
      <c r="E64">
        <v>2783</v>
      </c>
      <c r="F64">
        <v>46</v>
      </c>
      <c r="G64">
        <v>2401</v>
      </c>
      <c r="H64">
        <v>0</v>
      </c>
      <c r="I64">
        <v>129</v>
      </c>
      <c r="J64">
        <v>0</v>
      </c>
      <c r="K64">
        <v>2876</v>
      </c>
      <c r="L64">
        <v>2774</v>
      </c>
      <c r="M64">
        <v>1</v>
      </c>
      <c r="N64">
        <v>103.7</v>
      </c>
      <c r="O64">
        <v>-269.3</v>
      </c>
      <c r="P64">
        <v>1.04</v>
      </c>
      <c r="Q64">
        <v>-2.69</v>
      </c>
      <c r="R64" t="s">
        <v>59</v>
      </c>
      <c r="S64" t="s">
        <v>1277</v>
      </c>
      <c r="T64" s="1">
        <v>43397.621562499997</v>
      </c>
      <c r="U64">
        <v>2</v>
      </c>
      <c r="V64" t="s">
        <v>47</v>
      </c>
      <c r="W64">
        <v>4</v>
      </c>
      <c r="X64" t="s">
        <v>114</v>
      </c>
      <c r="Y64">
        <v>35</v>
      </c>
      <c r="Z64">
        <v>9</v>
      </c>
      <c r="AA64" t="s">
        <v>165</v>
      </c>
      <c r="AB64">
        <v>4</v>
      </c>
      <c r="AC64" t="s">
        <v>67</v>
      </c>
      <c r="AD64">
        <v>24.01</v>
      </c>
      <c r="AE64">
        <v>27.83</v>
      </c>
      <c r="AF64">
        <v>28.76</v>
      </c>
      <c r="AG64">
        <v>27.74</v>
      </c>
      <c r="AH64" t="s">
        <v>263</v>
      </c>
    </row>
    <row r="65" spans="1:35" x14ac:dyDescent="0.25">
      <c r="A65">
        <v>92</v>
      </c>
      <c r="B65" t="s">
        <v>264</v>
      </c>
      <c r="C65" t="s">
        <v>129</v>
      </c>
      <c r="D65">
        <v>15</v>
      </c>
      <c r="E65">
        <v>34894</v>
      </c>
      <c r="F65">
        <v>23</v>
      </c>
      <c r="G65">
        <v>32001</v>
      </c>
      <c r="H65">
        <v>0</v>
      </c>
      <c r="I65">
        <v>86</v>
      </c>
      <c r="J65">
        <v>0</v>
      </c>
      <c r="K65">
        <v>29518</v>
      </c>
      <c r="L65">
        <v>27534</v>
      </c>
      <c r="M65">
        <v>1</v>
      </c>
      <c r="N65">
        <v>-596.4</v>
      </c>
      <c r="O65">
        <v>3870.6</v>
      </c>
      <c r="P65">
        <v>-5.96</v>
      </c>
      <c r="Q65">
        <v>38.71</v>
      </c>
      <c r="R65" t="s">
        <v>37</v>
      </c>
      <c r="S65" t="s">
        <v>1277</v>
      </c>
      <c r="T65" s="1">
        <v>43397.621562499997</v>
      </c>
      <c r="U65">
        <v>3</v>
      </c>
      <c r="V65" t="s">
        <v>38</v>
      </c>
      <c r="W65">
        <v>2</v>
      </c>
      <c r="X65" t="s">
        <v>39</v>
      </c>
      <c r="Y65">
        <v>19</v>
      </c>
      <c r="Z65">
        <v>69</v>
      </c>
      <c r="AA65" t="s">
        <v>130</v>
      </c>
      <c r="AB65">
        <v>2</v>
      </c>
      <c r="AC65" t="s">
        <v>41</v>
      </c>
      <c r="AD65">
        <v>320.01</v>
      </c>
      <c r="AE65">
        <v>348.94</v>
      </c>
      <c r="AF65">
        <v>295.18</v>
      </c>
      <c r="AG65">
        <v>275.33999999999997</v>
      </c>
      <c r="AH65" t="s">
        <v>265</v>
      </c>
    </row>
    <row r="66" spans="1:35" x14ac:dyDescent="0.25">
      <c r="A66">
        <v>93</v>
      </c>
      <c r="B66" t="s">
        <v>266</v>
      </c>
      <c r="C66" t="s">
        <v>267</v>
      </c>
      <c r="D66">
        <v>788</v>
      </c>
      <c r="E66">
        <v>49</v>
      </c>
      <c r="F66">
        <v>338</v>
      </c>
      <c r="G66">
        <v>33</v>
      </c>
      <c r="H66">
        <v>0</v>
      </c>
      <c r="I66">
        <v>195</v>
      </c>
      <c r="J66">
        <v>0</v>
      </c>
      <c r="K66">
        <v>196</v>
      </c>
      <c r="L66">
        <v>196</v>
      </c>
      <c r="M66">
        <v>1</v>
      </c>
      <c r="N66">
        <v>11.1</v>
      </c>
      <c r="O66">
        <v>-151.9</v>
      </c>
      <c r="P66">
        <v>0.11</v>
      </c>
      <c r="Q66">
        <v>-1.52</v>
      </c>
      <c r="R66" t="s">
        <v>59</v>
      </c>
      <c r="S66" t="s">
        <v>1277</v>
      </c>
      <c r="T66" s="1">
        <v>43397.621562499997</v>
      </c>
      <c r="U66">
        <v>1</v>
      </c>
      <c r="V66" t="s">
        <v>44</v>
      </c>
      <c r="W66">
        <v>2</v>
      </c>
      <c r="X66" t="s">
        <v>39</v>
      </c>
      <c r="Y66">
        <v>18</v>
      </c>
      <c r="Z66">
        <v>44</v>
      </c>
      <c r="AA66" t="s">
        <v>71</v>
      </c>
      <c r="AB66">
        <v>1</v>
      </c>
      <c r="AC66" t="s">
        <v>60</v>
      </c>
      <c r="AD66">
        <v>0.33</v>
      </c>
      <c r="AE66">
        <v>0.49</v>
      </c>
      <c r="AF66">
        <v>1.96</v>
      </c>
      <c r="AG66">
        <v>1.96</v>
      </c>
      <c r="AH66" t="s">
        <v>268</v>
      </c>
    </row>
    <row r="67" spans="1:35" x14ac:dyDescent="0.25">
      <c r="A67">
        <v>94</v>
      </c>
      <c r="B67" t="s">
        <v>269</v>
      </c>
      <c r="C67" t="s">
        <v>270</v>
      </c>
      <c r="D67">
        <v>43</v>
      </c>
      <c r="E67">
        <v>3200</v>
      </c>
      <c r="F67">
        <v>35</v>
      </c>
      <c r="G67">
        <v>2900</v>
      </c>
      <c r="H67">
        <v>0</v>
      </c>
      <c r="I67">
        <v>94</v>
      </c>
      <c r="J67">
        <v>0</v>
      </c>
      <c r="K67">
        <v>2852</v>
      </c>
      <c r="L67">
        <v>2727</v>
      </c>
      <c r="M67">
        <v>1</v>
      </c>
      <c r="N67">
        <v>-20</v>
      </c>
      <c r="O67">
        <v>153</v>
      </c>
      <c r="P67">
        <v>-0.2</v>
      </c>
      <c r="Q67">
        <v>1.53</v>
      </c>
      <c r="R67" t="s">
        <v>37</v>
      </c>
      <c r="S67" t="s">
        <v>1277</v>
      </c>
      <c r="T67" s="1">
        <v>43397.621562499997</v>
      </c>
      <c r="U67">
        <v>2</v>
      </c>
      <c r="V67" t="s">
        <v>47</v>
      </c>
      <c r="W67">
        <v>2</v>
      </c>
      <c r="X67" t="s">
        <v>39</v>
      </c>
      <c r="Y67">
        <v>9</v>
      </c>
      <c r="Z67">
        <v>13</v>
      </c>
      <c r="AA67" t="s">
        <v>226</v>
      </c>
      <c r="AB67">
        <v>3</v>
      </c>
      <c r="AC67" t="s">
        <v>72</v>
      </c>
      <c r="AD67">
        <v>29</v>
      </c>
      <c r="AE67">
        <v>32</v>
      </c>
      <c r="AF67">
        <v>28.52</v>
      </c>
      <c r="AG67">
        <v>27.27</v>
      </c>
      <c r="AH67" t="s">
        <v>271</v>
      </c>
      <c r="AI67" t="s">
        <v>43</v>
      </c>
    </row>
    <row r="68" spans="1:35" x14ac:dyDescent="0.25">
      <c r="A68">
        <v>96</v>
      </c>
      <c r="B68" t="s">
        <v>272</v>
      </c>
      <c r="C68" t="s">
        <v>273</v>
      </c>
      <c r="D68">
        <v>473</v>
      </c>
      <c r="E68">
        <v>185</v>
      </c>
      <c r="F68">
        <v>481</v>
      </c>
      <c r="G68">
        <v>152</v>
      </c>
      <c r="H68">
        <v>0</v>
      </c>
      <c r="I68">
        <v>170</v>
      </c>
      <c r="J68">
        <v>0</v>
      </c>
      <c r="K68">
        <v>0</v>
      </c>
      <c r="L68">
        <v>0</v>
      </c>
      <c r="M68">
        <v>1</v>
      </c>
      <c r="N68">
        <v>14.5</v>
      </c>
      <c r="O68">
        <v>166.5</v>
      </c>
      <c r="P68">
        <v>0.15</v>
      </c>
      <c r="Q68">
        <v>1.67</v>
      </c>
      <c r="R68" t="s">
        <v>37</v>
      </c>
      <c r="S68" t="s">
        <v>1277</v>
      </c>
      <c r="T68" s="1">
        <v>43397.621562499997</v>
      </c>
      <c r="U68">
        <v>1</v>
      </c>
      <c r="V68" t="s">
        <v>44</v>
      </c>
      <c r="W68">
        <v>1</v>
      </c>
      <c r="X68" t="s">
        <v>101</v>
      </c>
      <c r="Y68">
        <v>56</v>
      </c>
      <c r="Z68">
        <v>0</v>
      </c>
      <c r="AA68" t="s">
        <v>102</v>
      </c>
      <c r="AB68">
        <v>0</v>
      </c>
      <c r="AC68" t="s">
        <v>43</v>
      </c>
      <c r="AD68">
        <v>1.52</v>
      </c>
      <c r="AE68">
        <v>1.85</v>
      </c>
      <c r="AF68">
        <v>0</v>
      </c>
      <c r="AG68">
        <v>0</v>
      </c>
      <c r="AH68" t="s">
        <v>274</v>
      </c>
    </row>
    <row r="69" spans="1:35" x14ac:dyDescent="0.25">
      <c r="A69">
        <v>99</v>
      </c>
      <c r="B69" t="s">
        <v>275</v>
      </c>
      <c r="C69" t="s">
        <v>125</v>
      </c>
      <c r="D69">
        <v>769</v>
      </c>
      <c r="E69">
        <v>23</v>
      </c>
      <c r="F69">
        <v>191</v>
      </c>
      <c r="G69">
        <v>15</v>
      </c>
      <c r="H69">
        <v>0</v>
      </c>
      <c r="I69">
        <v>274</v>
      </c>
      <c r="J69">
        <v>0</v>
      </c>
      <c r="K69">
        <v>196</v>
      </c>
      <c r="L69">
        <v>196</v>
      </c>
      <c r="M69">
        <v>1</v>
      </c>
      <c r="N69">
        <v>5.7</v>
      </c>
      <c r="O69">
        <v>-175.3</v>
      </c>
      <c r="P69">
        <v>0.06</v>
      </c>
      <c r="Q69">
        <v>-1.75</v>
      </c>
      <c r="R69" t="s">
        <v>59</v>
      </c>
      <c r="S69" t="s">
        <v>1277</v>
      </c>
      <c r="T69" s="1">
        <v>43397.621562499997</v>
      </c>
      <c r="U69">
        <v>1</v>
      </c>
      <c r="V69" t="s">
        <v>44</v>
      </c>
      <c r="W69">
        <v>2</v>
      </c>
      <c r="X69" t="s">
        <v>39</v>
      </c>
      <c r="Y69">
        <v>6</v>
      </c>
      <c r="Z69">
        <v>46</v>
      </c>
      <c r="AA69" t="s">
        <v>126</v>
      </c>
      <c r="AB69">
        <v>1</v>
      </c>
      <c r="AC69" t="s">
        <v>60</v>
      </c>
      <c r="AD69">
        <v>0.15</v>
      </c>
      <c r="AE69">
        <v>0.23</v>
      </c>
      <c r="AF69">
        <v>1.96</v>
      </c>
      <c r="AG69">
        <v>1.96</v>
      </c>
      <c r="AH69" t="s">
        <v>276</v>
      </c>
    </row>
    <row r="70" spans="1:35" x14ac:dyDescent="0.25">
      <c r="A70">
        <v>100</v>
      </c>
      <c r="B70" t="s">
        <v>277</v>
      </c>
      <c r="C70" t="s">
        <v>278</v>
      </c>
      <c r="D70">
        <v>53</v>
      </c>
      <c r="E70">
        <v>3520</v>
      </c>
      <c r="F70">
        <v>31</v>
      </c>
      <c r="G70">
        <v>3034</v>
      </c>
      <c r="H70">
        <v>0</v>
      </c>
      <c r="I70">
        <v>118</v>
      </c>
      <c r="J70">
        <v>0</v>
      </c>
      <c r="K70">
        <v>3142</v>
      </c>
      <c r="L70">
        <v>3041</v>
      </c>
      <c r="M70">
        <v>1</v>
      </c>
      <c r="N70">
        <v>134</v>
      </c>
      <c r="O70">
        <v>127</v>
      </c>
      <c r="P70">
        <v>1.34</v>
      </c>
      <c r="Q70">
        <v>1.27</v>
      </c>
      <c r="R70" t="s">
        <v>59</v>
      </c>
      <c r="S70" t="s">
        <v>1277</v>
      </c>
      <c r="T70" s="1">
        <v>43397.621562499997</v>
      </c>
      <c r="U70">
        <v>2</v>
      </c>
      <c r="V70" t="s">
        <v>47</v>
      </c>
      <c r="W70">
        <v>3</v>
      </c>
      <c r="X70" t="s">
        <v>109</v>
      </c>
      <c r="Y70">
        <v>28</v>
      </c>
      <c r="Z70">
        <v>26</v>
      </c>
      <c r="AA70" t="s">
        <v>236</v>
      </c>
      <c r="AB70">
        <v>3</v>
      </c>
      <c r="AC70" t="s">
        <v>72</v>
      </c>
      <c r="AD70">
        <v>30.34</v>
      </c>
      <c r="AE70">
        <v>35.200000000000003</v>
      </c>
      <c r="AF70">
        <v>31.42</v>
      </c>
      <c r="AG70">
        <v>30.41</v>
      </c>
      <c r="AH70" t="s">
        <v>279</v>
      </c>
    </row>
    <row r="71" spans="1:35" x14ac:dyDescent="0.25">
      <c r="A71">
        <v>101</v>
      </c>
      <c r="B71" t="s">
        <v>280</v>
      </c>
      <c r="C71" t="s">
        <v>281</v>
      </c>
      <c r="D71">
        <v>31</v>
      </c>
      <c r="E71">
        <v>229799</v>
      </c>
      <c r="F71">
        <v>48</v>
      </c>
      <c r="G71">
        <v>217501</v>
      </c>
      <c r="H71">
        <v>0</v>
      </c>
      <c r="I71">
        <v>12</v>
      </c>
      <c r="J71">
        <v>0</v>
      </c>
      <c r="K71">
        <v>210629</v>
      </c>
      <c r="L71">
        <v>200383</v>
      </c>
      <c r="M71">
        <v>1</v>
      </c>
      <c r="N71">
        <v>-10681.9</v>
      </c>
      <c r="O71">
        <v>6436.1</v>
      </c>
      <c r="P71">
        <v>-106.82</v>
      </c>
      <c r="Q71">
        <v>64.36</v>
      </c>
      <c r="R71" t="s">
        <v>37</v>
      </c>
      <c r="S71" t="s">
        <v>1277</v>
      </c>
      <c r="T71" s="1">
        <v>43397.621562499997</v>
      </c>
      <c r="U71">
        <v>4</v>
      </c>
      <c r="V71" t="s">
        <v>55</v>
      </c>
      <c r="W71">
        <v>3</v>
      </c>
      <c r="X71" t="s">
        <v>109</v>
      </c>
      <c r="Y71">
        <v>14</v>
      </c>
      <c r="Z71">
        <v>129</v>
      </c>
      <c r="AA71" t="s">
        <v>110</v>
      </c>
      <c r="AB71">
        <v>6</v>
      </c>
      <c r="AC71" t="s">
        <v>282</v>
      </c>
      <c r="AD71">
        <v>2175.0100000000002</v>
      </c>
      <c r="AE71">
        <v>2297.9899999999998</v>
      </c>
      <c r="AF71">
        <v>2106.29</v>
      </c>
      <c r="AG71">
        <v>2003.83</v>
      </c>
      <c r="AH71" t="s">
        <v>283</v>
      </c>
    </row>
    <row r="72" spans="1:35" x14ac:dyDescent="0.25">
      <c r="A72">
        <v>104</v>
      </c>
      <c r="B72" t="s">
        <v>284</v>
      </c>
      <c r="C72" t="s">
        <v>164</v>
      </c>
      <c r="D72">
        <v>28</v>
      </c>
      <c r="E72">
        <v>3277</v>
      </c>
      <c r="F72">
        <v>39</v>
      </c>
      <c r="G72">
        <v>3127</v>
      </c>
      <c r="H72">
        <v>0</v>
      </c>
      <c r="I72">
        <v>140</v>
      </c>
      <c r="J72">
        <v>0</v>
      </c>
      <c r="K72">
        <v>2819</v>
      </c>
      <c r="L72">
        <v>2751</v>
      </c>
      <c r="M72">
        <v>1</v>
      </c>
      <c r="N72">
        <v>-177.7</v>
      </c>
      <c r="O72">
        <v>198.3</v>
      </c>
      <c r="P72">
        <v>-1.78</v>
      </c>
      <c r="Q72">
        <v>1.98</v>
      </c>
      <c r="R72" t="s">
        <v>37</v>
      </c>
      <c r="S72" t="s">
        <v>1277</v>
      </c>
      <c r="T72" s="1">
        <v>43397.621562499997</v>
      </c>
      <c r="U72">
        <v>2</v>
      </c>
      <c r="V72" t="s">
        <v>47</v>
      </c>
      <c r="W72">
        <v>4</v>
      </c>
      <c r="X72" t="s">
        <v>114</v>
      </c>
      <c r="Y72">
        <v>35</v>
      </c>
      <c r="Z72">
        <v>32</v>
      </c>
      <c r="AA72" t="s">
        <v>165</v>
      </c>
      <c r="AB72">
        <v>2</v>
      </c>
      <c r="AC72" t="s">
        <v>41</v>
      </c>
      <c r="AD72">
        <v>31.27</v>
      </c>
      <c r="AE72">
        <v>32.770000000000003</v>
      </c>
      <c r="AF72">
        <v>28.19</v>
      </c>
      <c r="AG72">
        <v>27.51</v>
      </c>
      <c r="AH72" t="s">
        <v>285</v>
      </c>
    </row>
    <row r="73" spans="1:35" x14ac:dyDescent="0.25">
      <c r="A73">
        <v>105</v>
      </c>
      <c r="B73" t="s">
        <v>286</v>
      </c>
      <c r="C73" t="s">
        <v>287</v>
      </c>
      <c r="D73">
        <v>3</v>
      </c>
      <c r="E73">
        <v>2199900</v>
      </c>
      <c r="F73">
        <v>9</v>
      </c>
      <c r="G73">
        <v>1300000</v>
      </c>
      <c r="H73">
        <v>0</v>
      </c>
      <c r="I73">
        <v>424</v>
      </c>
      <c r="J73">
        <v>0</v>
      </c>
      <c r="K73">
        <v>0</v>
      </c>
      <c r="L73">
        <v>0</v>
      </c>
      <c r="M73">
        <v>1</v>
      </c>
      <c r="N73">
        <v>679910</v>
      </c>
      <c r="O73">
        <v>1979910</v>
      </c>
      <c r="P73">
        <v>6799.1</v>
      </c>
      <c r="Q73">
        <v>19799.099999999999</v>
      </c>
      <c r="R73" t="s">
        <v>37</v>
      </c>
      <c r="S73" t="s">
        <v>1277</v>
      </c>
      <c r="T73" s="1">
        <v>43397.621562499997</v>
      </c>
      <c r="U73">
        <v>4</v>
      </c>
      <c r="V73" t="s">
        <v>55</v>
      </c>
      <c r="W73">
        <v>7</v>
      </c>
      <c r="X73" t="s">
        <v>49</v>
      </c>
      <c r="Y73">
        <v>10</v>
      </c>
      <c r="Z73">
        <v>0</v>
      </c>
      <c r="AA73" t="s">
        <v>50</v>
      </c>
      <c r="AB73">
        <v>0</v>
      </c>
      <c r="AC73" t="s">
        <v>43</v>
      </c>
      <c r="AD73">
        <v>13000</v>
      </c>
      <c r="AE73">
        <v>21999</v>
      </c>
      <c r="AF73">
        <v>0</v>
      </c>
      <c r="AG73">
        <v>0</v>
      </c>
      <c r="AH73" t="s">
        <v>288</v>
      </c>
      <c r="AI73" t="s">
        <v>43</v>
      </c>
    </row>
    <row r="74" spans="1:35" x14ac:dyDescent="0.25">
      <c r="A74">
        <v>106</v>
      </c>
      <c r="B74" t="s">
        <v>289</v>
      </c>
      <c r="C74" t="s">
        <v>43</v>
      </c>
      <c r="D74">
        <v>268</v>
      </c>
      <c r="E74">
        <v>585</v>
      </c>
      <c r="F74">
        <v>681</v>
      </c>
      <c r="G74">
        <v>540</v>
      </c>
      <c r="H74">
        <v>0</v>
      </c>
      <c r="I74">
        <v>68</v>
      </c>
      <c r="J74">
        <v>0</v>
      </c>
      <c r="K74">
        <v>0</v>
      </c>
      <c r="L74">
        <v>0</v>
      </c>
      <c r="M74">
        <v>100</v>
      </c>
      <c r="N74">
        <v>-13.5</v>
      </c>
      <c r="O74">
        <v>526.5</v>
      </c>
      <c r="P74" s="2">
        <v>-0.14000000000000001</v>
      </c>
      <c r="Q74">
        <v>5.27</v>
      </c>
      <c r="R74" t="s">
        <v>37</v>
      </c>
      <c r="S74" t="s">
        <v>1277</v>
      </c>
      <c r="T74" s="1">
        <v>43397.621562499997</v>
      </c>
      <c r="U74">
        <v>1</v>
      </c>
      <c r="V74" t="s">
        <v>44</v>
      </c>
      <c r="W74">
        <v>8</v>
      </c>
      <c r="X74" t="s">
        <v>118</v>
      </c>
      <c r="Y74">
        <v>25</v>
      </c>
      <c r="Z74">
        <v>0</v>
      </c>
      <c r="AA74" t="s">
        <v>119</v>
      </c>
      <c r="AB74">
        <v>0</v>
      </c>
      <c r="AC74" t="s">
        <v>43</v>
      </c>
      <c r="AD74">
        <v>5.4</v>
      </c>
      <c r="AE74">
        <v>5.85</v>
      </c>
      <c r="AF74">
        <v>0</v>
      </c>
      <c r="AG74">
        <v>0</v>
      </c>
      <c r="AH74" t="s">
        <v>290</v>
      </c>
      <c r="AI74" t="s">
        <v>43</v>
      </c>
    </row>
    <row r="75" spans="1:35" x14ac:dyDescent="0.25">
      <c r="A75">
        <v>107</v>
      </c>
      <c r="B75" t="s">
        <v>291</v>
      </c>
      <c r="C75" t="s">
        <v>292</v>
      </c>
      <c r="D75">
        <v>681</v>
      </c>
      <c r="E75">
        <v>108</v>
      </c>
      <c r="F75">
        <v>230</v>
      </c>
      <c r="G75">
        <v>85</v>
      </c>
      <c r="H75">
        <v>0</v>
      </c>
      <c r="I75">
        <v>166</v>
      </c>
      <c r="J75">
        <v>0</v>
      </c>
      <c r="K75">
        <v>0</v>
      </c>
      <c r="L75">
        <v>0</v>
      </c>
      <c r="M75">
        <v>1</v>
      </c>
      <c r="N75">
        <v>12.2</v>
      </c>
      <c r="O75">
        <v>97.2</v>
      </c>
      <c r="P75">
        <v>0.12</v>
      </c>
      <c r="Q75">
        <v>0.97</v>
      </c>
      <c r="R75" t="s">
        <v>37</v>
      </c>
      <c r="S75" t="s">
        <v>1277</v>
      </c>
      <c r="T75" s="1">
        <v>43397.621562499997</v>
      </c>
      <c r="U75">
        <v>1</v>
      </c>
      <c r="V75" t="s">
        <v>44</v>
      </c>
      <c r="W75">
        <v>3</v>
      </c>
      <c r="X75" t="s">
        <v>109</v>
      </c>
      <c r="Y75">
        <v>4</v>
      </c>
      <c r="Z75">
        <v>0</v>
      </c>
      <c r="AA75" t="s">
        <v>293</v>
      </c>
      <c r="AB75">
        <v>0</v>
      </c>
      <c r="AC75" t="s">
        <v>43</v>
      </c>
      <c r="AD75">
        <v>0.85</v>
      </c>
      <c r="AE75">
        <v>1.08</v>
      </c>
      <c r="AF75">
        <v>0</v>
      </c>
      <c r="AG75">
        <v>0</v>
      </c>
      <c r="AH75" t="s">
        <v>294</v>
      </c>
    </row>
    <row r="76" spans="1:35" x14ac:dyDescent="0.25">
      <c r="A76">
        <v>108</v>
      </c>
      <c r="B76" t="s">
        <v>295</v>
      </c>
      <c r="C76" t="s">
        <v>296</v>
      </c>
      <c r="D76">
        <v>111</v>
      </c>
      <c r="E76">
        <v>2399</v>
      </c>
      <c r="F76">
        <v>53</v>
      </c>
      <c r="G76">
        <v>2322</v>
      </c>
      <c r="H76">
        <v>0</v>
      </c>
      <c r="I76">
        <v>105</v>
      </c>
      <c r="J76">
        <v>0</v>
      </c>
      <c r="K76">
        <v>3162</v>
      </c>
      <c r="L76">
        <v>3026</v>
      </c>
      <c r="M76">
        <v>1</v>
      </c>
      <c r="N76">
        <v>-162.9</v>
      </c>
      <c r="O76">
        <v>-866.9</v>
      </c>
      <c r="P76">
        <v>-1.63</v>
      </c>
      <c r="Q76">
        <v>-8.67</v>
      </c>
      <c r="R76" t="s">
        <v>59</v>
      </c>
      <c r="S76" t="s">
        <v>1277</v>
      </c>
      <c r="T76" s="1">
        <v>43397.621562499997</v>
      </c>
      <c r="U76">
        <v>2</v>
      </c>
      <c r="V76" t="s">
        <v>47</v>
      </c>
      <c r="W76">
        <v>3</v>
      </c>
      <c r="X76" t="s">
        <v>109</v>
      </c>
      <c r="Y76">
        <v>34</v>
      </c>
      <c r="Z76">
        <v>37</v>
      </c>
      <c r="AA76" t="s">
        <v>190</v>
      </c>
      <c r="AB76">
        <v>1</v>
      </c>
      <c r="AC76" t="s">
        <v>60</v>
      </c>
      <c r="AD76">
        <v>23.22</v>
      </c>
      <c r="AE76">
        <v>23.99</v>
      </c>
      <c r="AF76">
        <v>31.62</v>
      </c>
      <c r="AG76">
        <v>30.26</v>
      </c>
      <c r="AH76" t="s">
        <v>297</v>
      </c>
    </row>
    <row r="77" spans="1:35" x14ac:dyDescent="0.25">
      <c r="A77">
        <v>109</v>
      </c>
      <c r="B77" t="s">
        <v>298</v>
      </c>
      <c r="C77" t="s">
        <v>299</v>
      </c>
      <c r="D77">
        <v>769</v>
      </c>
      <c r="E77">
        <v>101</v>
      </c>
      <c r="F77">
        <v>220</v>
      </c>
      <c r="G77">
        <v>88</v>
      </c>
      <c r="H77">
        <v>0</v>
      </c>
      <c r="I77">
        <v>235</v>
      </c>
      <c r="J77">
        <v>0</v>
      </c>
      <c r="K77">
        <v>0</v>
      </c>
      <c r="L77">
        <v>0</v>
      </c>
      <c r="M77">
        <v>1</v>
      </c>
      <c r="N77">
        <v>2.9</v>
      </c>
      <c r="O77">
        <v>90.9</v>
      </c>
      <c r="P77">
        <v>0.03</v>
      </c>
      <c r="Q77">
        <v>0.91</v>
      </c>
      <c r="R77" t="s">
        <v>37</v>
      </c>
      <c r="S77" t="s">
        <v>1277</v>
      </c>
      <c r="T77" s="1">
        <v>43397.621562499997</v>
      </c>
      <c r="U77">
        <v>1</v>
      </c>
      <c r="V77" t="s">
        <v>44</v>
      </c>
      <c r="W77">
        <v>3</v>
      </c>
      <c r="X77" t="s">
        <v>109</v>
      </c>
      <c r="Y77">
        <v>34</v>
      </c>
      <c r="Z77">
        <v>0</v>
      </c>
      <c r="AA77" t="s">
        <v>190</v>
      </c>
      <c r="AB77">
        <v>0</v>
      </c>
      <c r="AC77" t="s">
        <v>43</v>
      </c>
      <c r="AD77">
        <v>0.88</v>
      </c>
      <c r="AE77">
        <v>1.01</v>
      </c>
      <c r="AF77">
        <v>0</v>
      </c>
      <c r="AG77">
        <v>0</v>
      </c>
      <c r="AH77" t="s">
        <v>300</v>
      </c>
    </row>
    <row r="78" spans="1:35" x14ac:dyDescent="0.25">
      <c r="A78">
        <v>112</v>
      </c>
      <c r="B78" t="s">
        <v>301</v>
      </c>
      <c r="C78" t="s">
        <v>302</v>
      </c>
      <c r="D78">
        <v>48</v>
      </c>
      <c r="E78">
        <v>3196</v>
      </c>
      <c r="F78">
        <v>14</v>
      </c>
      <c r="G78">
        <v>2601</v>
      </c>
      <c r="H78">
        <v>0</v>
      </c>
      <c r="I78">
        <v>115</v>
      </c>
      <c r="J78">
        <v>0</v>
      </c>
      <c r="K78">
        <v>3297</v>
      </c>
      <c r="L78">
        <v>3143</v>
      </c>
      <c r="M78">
        <v>1</v>
      </c>
      <c r="N78">
        <v>275.39999999999998</v>
      </c>
      <c r="O78">
        <v>-266.60000000000002</v>
      </c>
      <c r="P78">
        <v>2.75</v>
      </c>
      <c r="Q78">
        <v>-2.67</v>
      </c>
      <c r="R78" t="s">
        <v>59</v>
      </c>
      <c r="S78" t="s">
        <v>1277</v>
      </c>
      <c r="T78" s="1">
        <v>43397.621562499997</v>
      </c>
      <c r="U78">
        <v>2</v>
      </c>
      <c r="V78" t="s">
        <v>47</v>
      </c>
      <c r="W78">
        <v>3</v>
      </c>
      <c r="X78" t="s">
        <v>109</v>
      </c>
      <c r="Y78">
        <v>12</v>
      </c>
      <c r="Z78">
        <v>15</v>
      </c>
      <c r="AA78" t="s">
        <v>186</v>
      </c>
      <c r="AB78">
        <v>3</v>
      </c>
      <c r="AC78" t="s">
        <v>72</v>
      </c>
      <c r="AD78">
        <v>26.01</v>
      </c>
      <c r="AE78">
        <v>31.96</v>
      </c>
      <c r="AF78">
        <v>32.97</v>
      </c>
      <c r="AG78">
        <v>31.43</v>
      </c>
      <c r="AH78" t="s">
        <v>303</v>
      </c>
    </row>
    <row r="79" spans="1:35" x14ac:dyDescent="0.25">
      <c r="A79">
        <v>113</v>
      </c>
      <c r="B79" t="s">
        <v>304</v>
      </c>
      <c r="C79" t="s">
        <v>305</v>
      </c>
      <c r="D79">
        <v>102</v>
      </c>
      <c r="E79">
        <v>3387</v>
      </c>
      <c r="F79">
        <v>83</v>
      </c>
      <c r="G79">
        <v>2836</v>
      </c>
      <c r="H79">
        <v>0</v>
      </c>
      <c r="I79">
        <v>77</v>
      </c>
      <c r="J79">
        <v>0</v>
      </c>
      <c r="K79">
        <v>2777</v>
      </c>
      <c r="L79">
        <v>2671</v>
      </c>
      <c r="M79">
        <v>1</v>
      </c>
      <c r="N79">
        <v>212.3</v>
      </c>
      <c r="O79">
        <v>377.3</v>
      </c>
      <c r="P79">
        <v>2.12</v>
      </c>
      <c r="Q79">
        <v>3.77</v>
      </c>
      <c r="R79" t="s">
        <v>37</v>
      </c>
      <c r="S79" t="s">
        <v>1277</v>
      </c>
      <c r="T79" s="1">
        <v>43397.621562499997</v>
      </c>
      <c r="U79">
        <v>2</v>
      </c>
      <c r="V79" t="s">
        <v>47</v>
      </c>
      <c r="W79">
        <v>4</v>
      </c>
      <c r="X79" t="s">
        <v>114</v>
      </c>
      <c r="Y79">
        <v>35</v>
      </c>
      <c r="Z79">
        <v>41</v>
      </c>
      <c r="AA79" t="s">
        <v>165</v>
      </c>
      <c r="AB79">
        <v>4</v>
      </c>
      <c r="AC79" t="s">
        <v>67</v>
      </c>
      <c r="AD79">
        <v>28.36</v>
      </c>
      <c r="AE79">
        <v>33.869999999999997</v>
      </c>
      <c r="AF79">
        <v>27.77</v>
      </c>
      <c r="AG79">
        <v>26.71</v>
      </c>
      <c r="AH79" t="s">
        <v>306</v>
      </c>
    </row>
    <row r="80" spans="1:35" x14ac:dyDescent="0.25">
      <c r="A80">
        <v>114</v>
      </c>
      <c r="B80" t="s">
        <v>307</v>
      </c>
      <c r="C80" t="s">
        <v>43</v>
      </c>
      <c r="D80">
        <v>669</v>
      </c>
      <c r="E80">
        <v>25</v>
      </c>
      <c r="F80">
        <v>215</v>
      </c>
      <c r="G80">
        <v>24</v>
      </c>
      <c r="H80">
        <v>0</v>
      </c>
      <c r="I80">
        <v>185</v>
      </c>
      <c r="J80">
        <v>0</v>
      </c>
      <c r="K80">
        <v>0</v>
      </c>
      <c r="L80">
        <v>0</v>
      </c>
      <c r="M80">
        <v>10</v>
      </c>
      <c r="N80">
        <v>-1.5</v>
      </c>
      <c r="O80">
        <v>22.5</v>
      </c>
      <c r="P80">
        <v>-0.02</v>
      </c>
      <c r="Q80">
        <v>0.23</v>
      </c>
      <c r="R80" t="s">
        <v>37</v>
      </c>
      <c r="S80" t="s">
        <v>1277</v>
      </c>
      <c r="T80" s="1">
        <v>43397.621562499997</v>
      </c>
      <c r="U80">
        <v>1</v>
      </c>
      <c r="V80" t="s">
        <v>44</v>
      </c>
      <c r="W80">
        <v>8</v>
      </c>
      <c r="X80" t="s">
        <v>118</v>
      </c>
      <c r="Y80">
        <v>25</v>
      </c>
      <c r="Z80">
        <v>0</v>
      </c>
      <c r="AA80" t="s">
        <v>119</v>
      </c>
      <c r="AB80">
        <v>0</v>
      </c>
      <c r="AC80" t="s">
        <v>43</v>
      </c>
      <c r="AD80">
        <v>0.24</v>
      </c>
      <c r="AE80">
        <v>0.25</v>
      </c>
      <c r="AF80">
        <v>0</v>
      </c>
      <c r="AG80">
        <v>0</v>
      </c>
      <c r="AH80" t="s">
        <v>308</v>
      </c>
      <c r="AI80" t="s">
        <v>43</v>
      </c>
    </row>
    <row r="81" spans="1:35" x14ac:dyDescent="0.25">
      <c r="A81">
        <v>115</v>
      </c>
      <c r="B81" t="s">
        <v>309</v>
      </c>
      <c r="C81" t="s">
        <v>48</v>
      </c>
      <c r="D81">
        <v>11</v>
      </c>
      <c r="E81">
        <v>7500</v>
      </c>
      <c r="F81">
        <v>8</v>
      </c>
      <c r="G81">
        <v>7000</v>
      </c>
      <c r="H81">
        <v>0</v>
      </c>
      <c r="I81">
        <v>260</v>
      </c>
      <c r="J81">
        <v>0</v>
      </c>
      <c r="K81">
        <v>0</v>
      </c>
      <c r="L81">
        <v>0</v>
      </c>
      <c r="M81">
        <v>1</v>
      </c>
      <c r="N81">
        <v>-250</v>
      </c>
      <c r="O81">
        <v>6750</v>
      </c>
      <c r="P81">
        <v>-2.5</v>
      </c>
      <c r="Q81">
        <v>67.5</v>
      </c>
      <c r="R81" t="s">
        <v>37</v>
      </c>
      <c r="S81" t="s">
        <v>1277</v>
      </c>
      <c r="T81" s="1">
        <v>43397.621562499997</v>
      </c>
      <c r="U81">
        <v>5</v>
      </c>
      <c r="V81" t="s">
        <v>140</v>
      </c>
      <c r="W81">
        <v>7</v>
      </c>
      <c r="X81" t="s">
        <v>49</v>
      </c>
      <c r="Y81">
        <v>10</v>
      </c>
      <c r="Z81">
        <v>0</v>
      </c>
      <c r="AA81" t="s">
        <v>50</v>
      </c>
      <c r="AB81">
        <v>0</v>
      </c>
      <c r="AC81" t="s">
        <v>43</v>
      </c>
      <c r="AD81">
        <v>70</v>
      </c>
      <c r="AE81">
        <v>75</v>
      </c>
      <c r="AF81">
        <v>0</v>
      </c>
      <c r="AG81">
        <v>0</v>
      </c>
      <c r="AH81" t="s">
        <v>310</v>
      </c>
      <c r="AI81" t="s">
        <v>43</v>
      </c>
    </row>
    <row r="82" spans="1:35" x14ac:dyDescent="0.25">
      <c r="A82">
        <v>116</v>
      </c>
      <c r="B82" t="s">
        <v>311</v>
      </c>
      <c r="C82" t="s">
        <v>305</v>
      </c>
      <c r="D82">
        <v>58</v>
      </c>
      <c r="E82">
        <v>3415</v>
      </c>
      <c r="F82">
        <v>34</v>
      </c>
      <c r="G82">
        <v>2881</v>
      </c>
      <c r="H82">
        <v>0</v>
      </c>
      <c r="I82">
        <v>78</v>
      </c>
      <c r="J82">
        <v>0</v>
      </c>
      <c r="K82">
        <v>2917</v>
      </c>
      <c r="L82">
        <v>2785</v>
      </c>
      <c r="M82">
        <v>1</v>
      </c>
      <c r="N82">
        <v>192.5</v>
      </c>
      <c r="O82">
        <v>288.5</v>
      </c>
      <c r="P82">
        <v>1.93</v>
      </c>
      <c r="Q82">
        <v>2.89</v>
      </c>
      <c r="R82" t="s">
        <v>37</v>
      </c>
      <c r="S82" t="s">
        <v>1277</v>
      </c>
      <c r="T82" s="1">
        <v>43397.621562499997</v>
      </c>
      <c r="U82">
        <v>2</v>
      </c>
      <c r="V82" t="s">
        <v>47</v>
      </c>
      <c r="W82">
        <v>4</v>
      </c>
      <c r="X82" t="s">
        <v>114</v>
      </c>
      <c r="Y82">
        <v>35</v>
      </c>
      <c r="Z82">
        <v>42</v>
      </c>
      <c r="AA82" t="s">
        <v>165</v>
      </c>
      <c r="AB82">
        <v>4</v>
      </c>
      <c r="AC82" t="s">
        <v>67</v>
      </c>
      <c r="AD82">
        <v>28.81</v>
      </c>
      <c r="AE82">
        <v>34.15</v>
      </c>
      <c r="AF82">
        <v>29.17</v>
      </c>
      <c r="AG82">
        <v>27.85</v>
      </c>
      <c r="AH82" t="s">
        <v>312</v>
      </c>
    </row>
    <row r="83" spans="1:35" x14ac:dyDescent="0.25">
      <c r="A83">
        <v>117</v>
      </c>
      <c r="B83" t="s">
        <v>313</v>
      </c>
      <c r="C83" t="s">
        <v>314</v>
      </c>
      <c r="D83">
        <v>42</v>
      </c>
      <c r="E83">
        <v>32000</v>
      </c>
      <c r="F83">
        <v>13</v>
      </c>
      <c r="G83">
        <v>28800</v>
      </c>
      <c r="H83">
        <v>0</v>
      </c>
      <c r="I83">
        <v>73</v>
      </c>
      <c r="J83">
        <v>0</v>
      </c>
      <c r="K83">
        <v>28166</v>
      </c>
      <c r="L83">
        <v>26500</v>
      </c>
      <c r="M83">
        <v>1</v>
      </c>
      <c r="N83">
        <v>0</v>
      </c>
      <c r="O83">
        <v>2300</v>
      </c>
      <c r="P83">
        <v>0</v>
      </c>
      <c r="Q83">
        <v>23</v>
      </c>
      <c r="R83" t="s">
        <v>37</v>
      </c>
      <c r="S83" t="s">
        <v>1277</v>
      </c>
      <c r="T83" s="1">
        <v>43397.621562499997</v>
      </c>
      <c r="U83">
        <v>3</v>
      </c>
      <c r="V83" t="s">
        <v>38</v>
      </c>
      <c r="W83">
        <v>3</v>
      </c>
      <c r="X83" t="s">
        <v>109</v>
      </c>
      <c r="Y83">
        <v>12</v>
      </c>
      <c r="Z83">
        <v>58</v>
      </c>
      <c r="AA83" t="s">
        <v>186</v>
      </c>
      <c r="AB83">
        <v>4</v>
      </c>
      <c r="AC83" t="s">
        <v>67</v>
      </c>
      <c r="AD83">
        <v>288</v>
      </c>
      <c r="AE83">
        <v>320</v>
      </c>
      <c r="AF83">
        <v>281.66000000000003</v>
      </c>
      <c r="AG83">
        <v>265</v>
      </c>
      <c r="AH83" t="s">
        <v>315</v>
      </c>
    </row>
    <row r="84" spans="1:35" x14ac:dyDescent="0.25">
      <c r="A84">
        <v>118</v>
      </c>
      <c r="B84" t="s">
        <v>316</v>
      </c>
      <c r="C84" t="s">
        <v>43</v>
      </c>
      <c r="D84">
        <v>298</v>
      </c>
      <c r="E84">
        <v>1556</v>
      </c>
      <c r="F84">
        <v>117</v>
      </c>
      <c r="G84">
        <v>1550</v>
      </c>
      <c r="H84">
        <v>0</v>
      </c>
      <c r="I84">
        <v>0</v>
      </c>
      <c r="J84">
        <v>0</v>
      </c>
      <c r="K84">
        <v>0</v>
      </c>
      <c r="L84">
        <v>0</v>
      </c>
      <c r="M84">
        <v>1000</v>
      </c>
      <c r="N84">
        <v>-149.6</v>
      </c>
      <c r="O84">
        <v>1400.4</v>
      </c>
      <c r="P84" s="2">
        <v>-1.5</v>
      </c>
      <c r="Q84">
        <v>14</v>
      </c>
      <c r="R84" t="s">
        <v>37</v>
      </c>
      <c r="S84" t="s">
        <v>1277</v>
      </c>
      <c r="T84" s="1">
        <v>43397.621562499997</v>
      </c>
      <c r="U84">
        <v>1</v>
      </c>
      <c r="V84" t="s">
        <v>44</v>
      </c>
      <c r="W84">
        <v>8</v>
      </c>
      <c r="X84" t="s">
        <v>118</v>
      </c>
      <c r="Y84">
        <v>25</v>
      </c>
      <c r="Z84">
        <v>0</v>
      </c>
      <c r="AA84" t="s">
        <v>119</v>
      </c>
      <c r="AB84">
        <v>0</v>
      </c>
      <c r="AC84" t="s">
        <v>43</v>
      </c>
      <c r="AD84">
        <v>15.5</v>
      </c>
      <c r="AE84">
        <v>15.56</v>
      </c>
      <c r="AF84">
        <v>0</v>
      </c>
      <c r="AG84">
        <v>0</v>
      </c>
      <c r="AH84" t="s">
        <v>317</v>
      </c>
      <c r="AI84" t="s">
        <v>43</v>
      </c>
    </row>
    <row r="85" spans="1:35" x14ac:dyDescent="0.25">
      <c r="A85">
        <v>119</v>
      </c>
      <c r="B85" t="s">
        <v>318</v>
      </c>
      <c r="C85" t="s">
        <v>43</v>
      </c>
      <c r="D85">
        <v>187</v>
      </c>
      <c r="E85">
        <v>294</v>
      </c>
      <c r="F85">
        <v>146</v>
      </c>
      <c r="G85">
        <v>260</v>
      </c>
      <c r="H85">
        <v>0</v>
      </c>
      <c r="I85">
        <v>168</v>
      </c>
      <c r="J85">
        <v>0</v>
      </c>
      <c r="K85">
        <v>0</v>
      </c>
      <c r="L85">
        <v>0</v>
      </c>
      <c r="M85">
        <v>100</v>
      </c>
      <c r="N85">
        <v>4.5999999999999996</v>
      </c>
      <c r="O85">
        <v>264.60000000000002</v>
      </c>
      <c r="P85">
        <v>0.05</v>
      </c>
      <c r="Q85">
        <v>2.65</v>
      </c>
      <c r="R85" t="s">
        <v>37</v>
      </c>
      <c r="S85" t="s">
        <v>1277</v>
      </c>
      <c r="T85" s="1">
        <v>43397.621562499997</v>
      </c>
      <c r="U85">
        <v>1</v>
      </c>
      <c r="V85" t="s">
        <v>44</v>
      </c>
      <c r="W85">
        <v>8</v>
      </c>
      <c r="X85" t="s">
        <v>118</v>
      </c>
      <c r="Y85">
        <v>25</v>
      </c>
      <c r="Z85">
        <v>0</v>
      </c>
      <c r="AA85" t="s">
        <v>119</v>
      </c>
      <c r="AB85">
        <v>0</v>
      </c>
      <c r="AC85" t="s">
        <v>43</v>
      </c>
      <c r="AD85">
        <v>2.6</v>
      </c>
      <c r="AE85">
        <v>2.94</v>
      </c>
      <c r="AF85">
        <v>0</v>
      </c>
      <c r="AG85">
        <v>0</v>
      </c>
      <c r="AH85" t="s">
        <v>319</v>
      </c>
      <c r="AI85" t="s">
        <v>43</v>
      </c>
    </row>
    <row r="86" spans="1:35" x14ac:dyDescent="0.25">
      <c r="A86">
        <v>120</v>
      </c>
      <c r="B86" t="s">
        <v>320</v>
      </c>
      <c r="C86" t="s">
        <v>321</v>
      </c>
      <c r="D86">
        <v>266</v>
      </c>
      <c r="E86">
        <v>151</v>
      </c>
      <c r="F86">
        <v>220</v>
      </c>
      <c r="G86">
        <v>135</v>
      </c>
      <c r="H86">
        <v>0</v>
      </c>
      <c r="I86">
        <v>175</v>
      </c>
      <c r="J86">
        <v>0</v>
      </c>
      <c r="K86">
        <v>0</v>
      </c>
      <c r="L86">
        <v>0</v>
      </c>
      <c r="M86">
        <v>1</v>
      </c>
      <c r="N86">
        <v>0.9</v>
      </c>
      <c r="O86">
        <v>135.9</v>
      </c>
      <c r="P86">
        <v>0.01</v>
      </c>
      <c r="Q86">
        <v>1.36</v>
      </c>
      <c r="R86" t="s">
        <v>37</v>
      </c>
      <c r="S86" t="s">
        <v>1277</v>
      </c>
      <c r="T86" s="1">
        <v>43397.621562499997</v>
      </c>
      <c r="U86">
        <v>1</v>
      </c>
      <c r="V86" t="s">
        <v>44</v>
      </c>
      <c r="W86">
        <v>1</v>
      </c>
      <c r="X86" t="s">
        <v>101</v>
      </c>
      <c r="Y86">
        <v>5</v>
      </c>
      <c r="Z86">
        <v>0</v>
      </c>
      <c r="AA86" t="s">
        <v>182</v>
      </c>
      <c r="AB86">
        <v>0</v>
      </c>
      <c r="AC86" t="s">
        <v>43</v>
      </c>
      <c r="AD86">
        <v>1.35</v>
      </c>
      <c r="AE86">
        <v>1.51</v>
      </c>
      <c r="AF86">
        <v>0</v>
      </c>
      <c r="AG86">
        <v>0</v>
      </c>
      <c r="AH86" t="s">
        <v>322</v>
      </c>
    </row>
    <row r="87" spans="1:35" x14ac:dyDescent="0.25">
      <c r="A87">
        <v>121</v>
      </c>
      <c r="B87" t="s">
        <v>323</v>
      </c>
      <c r="C87" t="s">
        <v>250</v>
      </c>
      <c r="D87">
        <v>79</v>
      </c>
      <c r="E87">
        <v>3107</v>
      </c>
      <c r="F87">
        <v>13</v>
      </c>
      <c r="G87">
        <v>2540</v>
      </c>
      <c r="H87">
        <v>0</v>
      </c>
      <c r="I87">
        <v>174</v>
      </c>
      <c r="J87">
        <v>0</v>
      </c>
      <c r="K87">
        <v>2657</v>
      </c>
      <c r="L87">
        <v>2584</v>
      </c>
      <c r="M87">
        <v>1</v>
      </c>
      <c r="N87">
        <v>256.3</v>
      </c>
      <c r="O87">
        <v>212.3</v>
      </c>
      <c r="P87">
        <v>2.56</v>
      </c>
      <c r="Q87">
        <v>2.12</v>
      </c>
      <c r="R87" t="s">
        <v>59</v>
      </c>
      <c r="S87" t="s">
        <v>1277</v>
      </c>
      <c r="T87" s="1">
        <v>43397.621562499997</v>
      </c>
      <c r="U87">
        <v>2</v>
      </c>
      <c r="V87" t="s">
        <v>47</v>
      </c>
      <c r="W87">
        <v>4</v>
      </c>
      <c r="X87" t="s">
        <v>114</v>
      </c>
      <c r="Y87">
        <v>35</v>
      </c>
      <c r="Z87">
        <v>19</v>
      </c>
      <c r="AA87" t="s">
        <v>165</v>
      </c>
      <c r="AB87">
        <v>2</v>
      </c>
      <c r="AC87" t="s">
        <v>41</v>
      </c>
      <c r="AD87">
        <v>25.4</v>
      </c>
      <c r="AE87">
        <v>31.07</v>
      </c>
      <c r="AF87">
        <v>26.57</v>
      </c>
      <c r="AG87">
        <v>25.84</v>
      </c>
      <c r="AH87" t="s">
        <v>324</v>
      </c>
    </row>
    <row r="88" spans="1:35" x14ac:dyDescent="0.25">
      <c r="A88">
        <v>122</v>
      </c>
      <c r="B88" t="s">
        <v>325</v>
      </c>
      <c r="C88" t="s">
        <v>326</v>
      </c>
      <c r="D88">
        <v>30</v>
      </c>
      <c r="E88">
        <v>30999</v>
      </c>
      <c r="F88">
        <v>9</v>
      </c>
      <c r="G88">
        <v>29000</v>
      </c>
      <c r="H88">
        <v>0</v>
      </c>
      <c r="I88">
        <v>112</v>
      </c>
      <c r="J88">
        <v>0</v>
      </c>
      <c r="K88">
        <v>28466</v>
      </c>
      <c r="L88">
        <v>26310</v>
      </c>
      <c r="M88">
        <v>1</v>
      </c>
      <c r="N88">
        <v>-1100.9000000000001</v>
      </c>
      <c r="O88">
        <v>1589.1</v>
      </c>
      <c r="P88">
        <v>-11.01</v>
      </c>
      <c r="Q88">
        <v>15.89</v>
      </c>
      <c r="R88" t="s">
        <v>37</v>
      </c>
      <c r="S88" t="s">
        <v>1277</v>
      </c>
      <c r="T88" s="1">
        <v>43397.621562499997</v>
      </c>
      <c r="U88">
        <v>3</v>
      </c>
      <c r="V88" t="s">
        <v>38</v>
      </c>
      <c r="W88">
        <v>3</v>
      </c>
      <c r="X88" t="s">
        <v>109</v>
      </c>
      <c r="Y88">
        <v>23</v>
      </c>
      <c r="Z88">
        <v>65</v>
      </c>
      <c r="AA88" t="s">
        <v>327</v>
      </c>
      <c r="AB88">
        <v>3</v>
      </c>
      <c r="AC88" t="s">
        <v>72</v>
      </c>
      <c r="AD88">
        <v>290</v>
      </c>
      <c r="AE88">
        <v>309.99</v>
      </c>
      <c r="AF88">
        <v>284.66000000000003</v>
      </c>
      <c r="AG88">
        <v>263.10000000000002</v>
      </c>
      <c r="AH88" t="s">
        <v>328</v>
      </c>
    </row>
    <row r="89" spans="1:35" x14ac:dyDescent="0.25">
      <c r="A89">
        <v>123</v>
      </c>
      <c r="B89" t="s">
        <v>329</v>
      </c>
      <c r="C89" t="s">
        <v>330</v>
      </c>
      <c r="D89">
        <v>59</v>
      </c>
      <c r="E89">
        <v>3319</v>
      </c>
      <c r="F89">
        <v>21</v>
      </c>
      <c r="G89">
        <v>3000</v>
      </c>
      <c r="H89">
        <v>0</v>
      </c>
      <c r="I89">
        <v>132</v>
      </c>
      <c r="J89">
        <v>0</v>
      </c>
      <c r="K89">
        <v>2862</v>
      </c>
      <c r="L89">
        <v>2753</v>
      </c>
      <c r="M89">
        <v>1</v>
      </c>
      <c r="N89">
        <v>-12.9</v>
      </c>
      <c r="O89">
        <v>234.1</v>
      </c>
      <c r="P89">
        <v>-0.13</v>
      </c>
      <c r="Q89">
        <v>2.34</v>
      </c>
      <c r="R89" t="s">
        <v>37</v>
      </c>
      <c r="S89" t="s">
        <v>1277</v>
      </c>
      <c r="T89" s="1">
        <v>43397.621562499997</v>
      </c>
      <c r="U89">
        <v>2</v>
      </c>
      <c r="V89" t="s">
        <v>47</v>
      </c>
      <c r="W89">
        <v>3</v>
      </c>
      <c r="X89" t="s">
        <v>109</v>
      </c>
      <c r="Y89">
        <v>30</v>
      </c>
      <c r="Z89">
        <v>3</v>
      </c>
      <c r="AA89" t="s">
        <v>331</v>
      </c>
      <c r="AB89">
        <v>4</v>
      </c>
      <c r="AC89" t="s">
        <v>67</v>
      </c>
      <c r="AD89">
        <v>30</v>
      </c>
      <c r="AE89">
        <v>33.19</v>
      </c>
      <c r="AF89">
        <v>28.62</v>
      </c>
      <c r="AG89">
        <v>27.53</v>
      </c>
      <c r="AH89" t="s">
        <v>332</v>
      </c>
    </row>
    <row r="90" spans="1:35" x14ac:dyDescent="0.25">
      <c r="A90">
        <v>124</v>
      </c>
      <c r="B90" t="s">
        <v>333</v>
      </c>
      <c r="C90" t="s">
        <v>330</v>
      </c>
      <c r="D90">
        <v>20</v>
      </c>
      <c r="E90">
        <v>27375</v>
      </c>
      <c r="F90">
        <v>8</v>
      </c>
      <c r="G90">
        <v>24000</v>
      </c>
      <c r="H90">
        <v>0</v>
      </c>
      <c r="I90">
        <v>159</v>
      </c>
      <c r="J90">
        <v>0</v>
      </c>
      <c r="K90">
        <v>29034</v>
      </c>
      <c r="L90">
        <v>26894</v>
      </c>
      <c r="M90">
        <v>1</v>
      </c>
      <c r="N90">
        <v>637.5</v>
      </c>
      <c r="O90">
        <v>-2256.5</v>
      </c>
      <c r="P90">
        <v>6.38</v>
      </c>
      <c r="Q90">
        <v>-22.57</v>
      </c>
      <c r="R90" t="s">
        <v>59</v>
      </c>
      <c r="S90" t="s">
        <v>1277</v>
      </c>
      <c r="T90" s="1">
        <v>43397.621562499997</v>
      </c>
      <c r="U90">
        <v>3</v>
      </c>
      <c r="V90" t="s">
        <v>38</v>
      </c>
      <c r="W90">
        <v>3</v>
      </c>
      <c r="X90" t="s">
        <v>109</v>
      </c>
      <c r="Y90">
        <v>30</v>
      </c>
      <c r="Z90">
        <v>56</v>
      </c>
      <c r="AA90" t="s">
        <v>331</v>
      </c>
      <c r="AB90">
        <v>4</v>
      </c>
      <c r="AC90" t="s">
        <v>67</v>
      </c>
      <c r="AD90">
        <v>240</v>
      </c>
      <c r="AE90">
        <v>273.75</v>
      </c>
      <c r="AF90">
        <v>290.33999999999997</v>
      </c>
      <c r="AG90">
        <v>268.94</v>
      </c>
      <c r="AH90" t="s">
        <v>334</v>
      </c>
    </row>
    <row r="91" spans="1:35" x14ac:dyDescent="0.25">
      <c r="A91">
        <v>125</v>
      </c>
      <c r="B91" t="s">
        <v>335</v>
      </c>
      <c r="C91" t="s">
        <v>287</v>
      </c>
      <c r="D91">
        <v>4</v>
      </c>
      <c r="E91">
        <v>31108</v>
      </c>
      <c r="F91">
        <v>16</v>
      </c>
      <c r="G91">
        <v>27000</v>
      </c>
      <c r="H91">
        <v>0</v>
      </c>
      <c r="I91">
        <v>431</v>
      </c>
      <c r="J91">
        <v>0</v>
      </c>
      <c r="K91">
        <v>0</v>
      </c>
      <c r="L91">
        <v>0</v>
      </c>
      <c r="M91">
        <v>1</v>
      </c>
      <c r="N91">
        <v>997.2</v>
      </c>
      <c r="O91">
        <v>27997.200000000001</v>
      </c>
      <c r="P91">
        <v>9.9700000000000006</v>
      </c>
      <c r="Q91">
        <v>279.97000000000003</v>
      </c>
      <c r="R91" t="s">
        <v>37</v>
      </c>
      <c r="S91" t="s">
        <v>1277</v>
      </c>
      <c r="T91" s="1">
        <v>43397.621562499997</v>
      </c>
      <c r="U91">
        <v>2</v>
      </c>
      <c r="V91" t="s">
        <v>47</v>
      </c>
      <c r="W91">
        <v>7</v>
      </c>
      <c r="X91" t="s">
        <v>49</v>
      </c>
      <c r="Y91">
        <v>10</v>
      </c>
      <c r="Z91">
        <v>0</v>
      </c>
      <c r="AA91" t="s">
        <v>50</v>
      </c>
      <c r="AB91">
        <v>0</v>
      </c>
      <c r="AC91" t="s">
        <v>43</v>
      </c>
      <c r="AD91">
        <v>270</v>
      </c>
      <c r="AE91">
        <v>311.08</v>
      </c>
      <c r="AF91">
        <v>0</v>
      </c>
      <c r="AG91">
        <v>0</v>
      </c>
      <c r="AH91" t="s">
        <v>336</v>
      </c>
      <c r="AI91" t="s">
        <v>43</v>
      </c>
    </row>
    <row r="92" spans="1:35" x14ac:dyDescent="0.25">
      <c r="A92">
        <v>126</v>
      </c>
      <c r="B92" t="s">
        <v>337</v>
      </c>
      <c r="C92" t="s">
        <v>338</v>
      </c>
      <c r="D92">
        <v>458</v>
      </c>
      <c r="E92">
        <v>41</v>
      </c>
      <c r="F92">
        <v>167</v>
      </c>
      <c r="G92">
        <v>34</v>
      </c>
      <c r="H92">
        <v>0</v>
      </c>
      <c r="I92">
        <v>217</v>
      </c>
      <c r="J92">
        <v>0</v>
      </c>
      <c r="K92">
        <v>0</v>
      </c>
      <c r="L92">
        <v>0</v>
      </c>
      <c r="M92">
        <v>1</v>
      </c>
      <c r="N92">
        <v>2.9</v>
      </c>
      <c r="O92">
        <v>36.9</v>
      </c>
      <c r="P92">
        <v>0.03</v>
      </c>
      <c r="Q92">
        <v>0.37</v>
      </c>
      <c r="R92" t="s">
        <v>37</v>
      </c>
      <c r="S92" t="s">
        <v>1277</v>
      </c>
      <c r="T92" s="1">
        <v>43397.621562499997</v>
      </c>
      <c r="U92">
        <v>1</v>
      </c>
      <c r="V92" t="s">
        <v>44</v>
      </c>
      <c r="W92">
        <v>4</v>
      </c>
      <c r="X92" t="s">
        <v>114</v>
      </c>
      <c r="Y92">
        <v>35</v>
      </c>
      <c r="Z92">
        <v>0</v>
      </c>
      <c r="AA92" t="s">
        <v>165</v>
      </c>
      <c r="AB92">
        <v>0</v>
      </c>
      <c r="AC92" t="s">
        <v>43</v>
      </c>
      <c r="AD92">
        <v>0.34</v>
      </c>
      <c r="AE92">
        <v>0.41</v>
      </c>
      <c r="AF92">
        <v>0</v>
      </c>
      <c r="AG92">
        <v>0</v>
      </c>
      <c r="AH92" t="s">
        <v>339</v>
      </c>
    </row>
    <row r="93" spans="1:35" x14ac:dyDescent="0.25">
      <c r="A93">
        <v>127</v>
      </c>
      <c r="B93" t="s">
        <v>340</v>
      </c>
      <c r="C93" t="s">
        <v>341</v>
      </c>
      <c r="D93">
        <v>233</v>
      </c>
      <c r="E93">
        <v>130</v>
      </c>
      <c r="F93">
        <v>23</v>
      </c>
      <c r="G93">
        <v>93</v>
      </c>
      <c r="H93">
        <v>0</v>
      </c>
      <c r="I93">
        <v>283</v>
      </c>
      <c r="J93">
        <v>0</v>
      </c>
      <c r="K93">
        <v>0</v>
      </c>
      <c r="L93">
        <v>0</v>
      </c>
      <c r="M93">
        <v>1</v>
      </c>
      <c r="N93">
        <v>24</v>
      </c>
      <c r="O93">
        <v>117</v>
      </c>
      <c r="P93">
        <v>0.24</v>
      </c>
      <c r="Q93">
        <v>1.17</v>
      </c>
      <c r="R93" t="s">
        <v>37</v>
      </c>
      <c r="S93" t="s">
        <v>1277</v>
      </c>
      <c r="T93" s="1">
        <v>43397.621562499997</v>
      </c>
      <c r="U93">
        <v>4</v>
      </c>
      <c r="V93" t="s">
        <v>55</v>
      </c>
      <c r="W93">
        <v>8</v>
      </c>
      <c r="X93" t="s">
        <v>118</v>
      </c>
      <c r="Y93">
        <v>7</v>
      </c>
      <c r="Z93">
        <v>0</v>
      </c>
      <c r="AA93" t="s">
        <v>257</v>
      </c>
      <c r="AB93">
        <v>0</v>
      </c>
      <c r="AC93" t="s">
        <v>43</v>
      </c>
      <c r="AD93">
        <v>0.93</v>
      </c>
      <c r="AE93">
        <v>1.3</v>
      </c>
      <c r="AF93">
        <v>0</v>
      </c>
      <c r="AG93">
        <v>0</v>
      </c>
      <c r="AH93" t="s">
        <v>342</v>
      </c>
      <c r="AI93" t="s">
        <v>43</v>
      </c>
    </row>
    <row r="94" spans="1:35" x14ac:dyDescent="0.25">
      <c r="A94">
        <v>128</v>
      </c>
      <c r="B94" t="s">
        <v>343</v>
      </c>
      <c r="C94" t="s">
        <v>344</v>
      </c>
      <c r="D94">
        <v>23</v>
      </c>
      <c r="E94">
        <v>4990</v>
      </c>
      <c r="F94">
        <v>16</v>
      </c>
      <c r="G94">
        <v>4189</v>
      </c>
      <c r="H94">
        <v>0</v>
      </c>
      <c r="I94">
        <v>192</v>
      </c>
      <c r="J94">
        <v>0</v>
      </c>
      <c r="K94">
        <v>0</v>
      </c>
      <c r="L94">
        <v>0</v>
      </c>
      <c r="M94">
        <v>1</v>
      </c>
      <c r="N94">
        <v>302</v>
      </c>
      <c r="O94">
        <v>4491</v>
      </c>
      <c r="P94">
        <v>3.02</v>
      </c>
      <c r="Q94">
        <v>44.91</v>
      </c>
      <c r="R94" t="s">
        <v>37</v>
      </c>
      <c r="S94" t="s">
        <v>1277</v>
      </c>
      <c r="T94" s="1">
        <v>43397.621562499997</v>
      </c>
      <c r="U94">
        <v>5</v>
      </c>
      <c r="V94" t="s">
        <v>140</v>
      </c>
      <c r="W94">
        <v>7</v>
      </c>
      <c r="X94" t="s">
        <v>49</v>
      </c>
      <c r="Y94">
        <v>10</v>
      </c>
      <c r="Z94">
        <v>0</v>
      </c>
      <c r="AA94" t="s">
        <v>50</v>
      </c>
      <c r="AB94">
        <v>0</v>
      </c>
      <c r="AC94" t="s">
        <v>43</v>
      </c>
      <c r="AD94">
        <v>41.89</v>
      </c>
      <c r="AE94">
        <v>49.9</v>
      </c>
      <c r="AF94">
        <v>0</v>
      </c>
      <c r="AG94">
        <v>0</v>
      </c>
      <c r="AH94" t="s">
        <v>345</v>
      </c>
      <c r="AI94" t="s">
        <v>43</v>
      </c>
    </row>
    <row r="95" spans="1:35" x14ac:dyDescent="0.25">
      <c r="A95">
        <v>129</v>
      </c>
      <c r="B95" t="s">
        <v>346</v>
      </c>
      <c r="C95" t="s">
        <v>292</v>
      </c>
      <c r="D95">
        <v>34</v>
      </c>
      <c r="E95">
        <v>3440</v>
      </c>
      <c r="F95">
        <v>60</v>
      </c>
      <c r="G95">
        <v>2943</v>
      </c>
      <c r="H95">
        <v>0</v>
      </c>
      <c r="I95">
        <v>147</v>
      </c>
      <c r="J95">
        <v>0</v>
      </c>
      <c r="K95">
        <v>2859</v>
      </c>
      <c r="L95">
        <v>2743</v>
      </c>
      <c r="M95">
        <v>1</v>
      </c>
      <c r="N95">
        <v>153</v>
      </c>
      <c r="O95">
        <v>353</v>
      </c>
      <c r="P95">
        <v>1.53</v>
      </c>
      <c r="Q95">
        <v>3.53</v>
      </c>
      <c r="R95" t="s">
        <v>37</v>
      </c>
      <c r="S95" t="s">
        <v>1277</v>
      </c>
      <c r="T95" s="1">
        <v>43397.621562499997</v>
      </c>
      <c r="U95">
        <v>2</v>
      </c>
      <c r="V95" t="s">
        <v>47</v>
      </c>
      <c r="W95">
        <v>3</v>
      </c>
      <c r="X95" t="s">
        <v>109</v>
      </c>
      <c r="Y95">
        <v>4</v>
      </c>
      <c r="Z95">
        <v>28</v>
      </c>
      <c r="AA95" t="s">
        <v>293</v>
      </c>
      <c r="AB95">
        <v>2</v>
      </c>
      <c r="AC95" t="s">
        <v>41</v>
      </c>
      <c r="AD95">
        <v>29.43</v>
      </c>
      <c r="AE95">
        <v>34.4</v>
      </c>
      <c r="AF95">
        <v>28.59</v>
      </c>
      <c r="AG95">
        <v>27.43</v>
      </c>
      <c r="AH95" t="s">
        <v>347</v>
      </c>
    </row>
    <row r="96" spans="1:35" x14ac:dyDescent="0.25">
      <c r="A96">
        <v>130</v>
      </c>
      <c r="B96" t="s">
        <v>348</v>
      </c>
      <c r="C96" t="s">
        <v>349</v>
      </c>
      <c r="D96">
        <v>53</v>
      </c>
      <c r="E96">
        <v>1658</v>
      </c>
      <c r="F96">
        <v>34</v>
      </c>
      <c r="G96">
        <v>1105</v>
      </c>
      <c r="H96">
        <v>0</v>
      </c>
      <c r="I96">
        <v>145</v>
      </c>
      <c r="J96">
        <v>0</v>
      </c>
      <c r="K96">
        <v>0</v>
      </c>
      <c r="L96">
        <v>0</v>
      </c>
      <c r="M96">
        <v>1</v>
      </c>
      <c r="N96">
        <v>387.2</v>
      </c>
      <c r="O96">
        <v>1492.2</v>
      </c>
      <c r="P96">
        <v>3.87</v>
      </c>
      <c r="Q96">
        <v>14.92</v>
      </c>
      <c r="R96" t="s">
        <v>37</v>
      </c>
      <c r="S96" t="s">
        <v>1277</v>
      </c>
      <c r="T96" s="1">
        <v>43397.621562499997</v>
      </c>
      <c r="U96">
        <v>2</v>
      </c>
      <c r="V96" t="s">
        <v>47</v>
      </c>
      <c r="W96">
        <v>6</v>
      </c>
      <c r="X96" t="s">
        <v>350</v>
      </c>
      <c r="Y96">
        <v>2</v>
      </c>
      <c r="Z96">
        <v>0</v>
      </c>
      <c r="AA96" t="s">
        <v>351</v>
      </c>
      <c r="AB96">
        <v>0</v>
      </c>
      <c r="AC96" t="s">
        <v>43</v>
      </c>
      <c r="AD96">
        <v>11.05</v>
      </c>
      <c r="AE96">
        <v>16.579999999999998</v>
      </c>
      <c r="AF96">
        <v>0</v>
      </c>
      <c r="AG96">
        <v>0</v>
      </c>
      <c r="AH96" t="s">
        <v>352</v>
      </c>
    </row>
    <row r="97" spans="1:35" x14ac:dyDescent="0.25">
      <c r="A97">
        <v>131</v>
      </c>
      <c r="B97" t="s">
        <v>353</v>
      </c>
      <c r="C97" t="s">
        <v>354</v>
      </c>
      <c r="D97">
        <v>31</v>
      </c>
      <c r="E97">
        <v>33684</v>
      </c>
      <c r="F97">
        <v>31</v>
      </c>
      <c r="G97">
        <v>33000</v>
      </c>
      <c r="H97">
        <v>0</v>
      </c>
      <c r="I97">
        <v>76</v>
      </c>
      <c r="J97">
        <v>0</v>
      </c>
      <c r="K97">
        <v>29680</v>
      </c>
      <c r="L97">
        <v>29128</v>
      </c>
      <c r="M97">
        <v>1</v>
      </c>
      <c r="N97">
        <v>-2684.4</v>
      </c>
      <c r="O97">
        <v>1187.5999999999999</v>
      </c>
      <c r="P97">
        <v>-26.84</v>
      </c>
      <c r="Q97">
        <v>11.88</v>
      </c>
      <c r="R97" t="s">
        <v>37</v>
      </c>
      <c r="S97" t="s">
        <v>1277</v>
      </c>
      <c r="T97" s="1">
        <v>43397.621562499997</v>
      </c>
      <c r="U97">
        <v>3</v>
      </c>
      <c r="V97" t="s">
        <v>38</v>
      </c>
      <c r="W97">
        <v>3</v>
      </c>
      <c r="X97" t="s">
        <v>109</v>
      </c>
      <c r="Y97">
        <v>12</v>
      </c>
      <c r="Z97">
        <v>64</v>
      </c>
      <c r="AA97" t="s">
        <v>186</v>
      </c>
      <c r="AB97">
        <v>2</v>
      </c>
      <c r="AC97" t="s">
        <v>41</v>
      </c>
      <c r="AD97">
        <v>330</v>
      </c>
      <c r="AE97">
        <v>336.84</v>
      </c>
      <c r="AF97">
        <v>296.8</v>
      </c>
      <c r="AG97">
        <v>291.27999999999997</v>
      </c>
      <c r="AH97" t="s">
        <v>355</v>
      </c>
    </row>
    <row r="98" spans="1:35" x14ac:dyDescent="0.25">
      <c r="A98">
        <v>132</v>
      </c>
      <c r="B98" t="s">
        <v>356</v>
      </c>
      <c r="C98" t="s">
        <v>344</v>
      </c>
      <c r="D98">
        <v>2</v>
      </c>
      <c r="E98">
        <v>1199697</v>
      </c>
      <c r="F98">
        <v>3</v>
      </c>
      <c r="G98">
        <v>500000</v>
      </c>
      <c r="H98">
        <v>0</v>
      </c>
      <c r="I98">
        <v>183</v>
      </c>
      <c r="J98">
        <v>0</v>
      </c>
      <c r="K98">
        <v>0</v>
      </c>
      <c r="L98">
        <v>0</v>
      </c>
      <c r="M98">
        <v>1</v>
      </c>
      <c r="N98">
        <v>579727.30000000005</v>
      </c>
      <c r="O98">
        <v>1079727.3</v>
      </c>
      <c r="P98">
        <v>5797.27</v>
      </c>
      <c r="Q98">
        <v>10797.27</v>
      </c>
      <c r="R98" t="s">
        <v>37</v>
      </c>
      <c r="S98" t="s">
        <v>1277</v>
      </c>
      <c r="T98" s="1">
        <v>43397.621562499997</v>
      </c>
      <c r="U98">
        <v>4</v>
      </c>
      <c r="V98" t="s">
        <v>55</v>
      </c>
      <c r="W98">
        <v>7</v>
      </c>
      <c r="X98" t="s">
        <v>49</v>
      </c>
      <c r="Y98">
        <v>10</v>
      </c>
      <c r="Z98">
        <v>0</v>
      </c>
      <c r="AA98" t="s">
        <v>50</v>
      </c>
      <c r="AB98">
        <v>0</v>
      </c>
      <c r="AC98" t="s">
        <v>43</v>
      </c>
      <c r="AD98">
        <v>5000</v>
      </c>
      <c r="AE98">
        <v>11996.97</v>
      </c>
      <c r="AF98">
        <v>0</v>
      </c>
      <c r="AG98">
        <v>0</v>
      </c>
      <c r="AH98" t="s">
        <v>357</v>
      </c>
      <c r="AI98" t="s">
        <v>43</v>
      </c>
    </row>
    <row r="99" spans="1:35" x14ac:dyDescent="0.25">
      <c r="A99">
        <v>134</v>
      </c>
      <c r="B99" t="s">
        <v>358</v>
      </c>
      <c r="C99" t="s">
        <v>349</v>
      </c>
      <c r="D99">
        <v>133</v>
      </c>
      <c r="E99">
        <v>900</v>
      </c>
      <c r="F99">
        <v>54</v>
      </c>
      <c r="G99">
        <v>823</v>
      </c>
      <c r="H99">
        <v>0</v>
      </c>
      <c r="I99">
        <v>141</v>
      </c>
      <c r="J99">
        <v>0</v>
      </c>
      <c r="K99">
        <v>0</v>
      </c>
      <c r="L99">
        <v>0</v>
      </c>
      <c r="M99">
        <v>1</v>
      </c>
      <c r="N99">
        <v>-13</v>
      </c>
      <c r="O99">
        <v>810</v>
      </c>
      <c r="P99">
        <v>-0.13</v>
      </c>
      <c r="Q99">
        <v>8.1</v>
      </c>
      <c r="R99" t="s">
        <v>37</v>
      </c>
      <c r="S99" t="s">
        <v>1277</v>
      </c>
      <c r="T99" s="1">
        <v>43397.621562499997</v>
      </c>
      <c r="U99">
        <v>2</v>
      </c>
      <c r="V99" t="s">
        <v>47</v>
      </c>
      <c r="W99">
        <v>6</v>
      </c>
      <c r="X99" t="s">
        <v>350</v>
      </c>
      <c r="Y99">
        <v>2</v>
      </c>
      <c r="Z99">
        <v>0</v>
      </c>
      <c r="AA99" t="s">
        <v>351</v>
      </c>
      <c r="AB99">
        <v>0</v>
      </c>
      <c r="AC99" t="s">
        <v>43</v>
      </c>
      <c r="AD99">
        <v>8.23</v>
      </c>
      <c r="AE99">
        <v>9</v>
      </c>
      <c r="AF99">
        <v>0</v>
      </c>
      <c r="AG99">
        <v>0</v>
      </c>
      <c r="AH99" t="s">
        <v>359</v>
      </c>
    </row>
    <row r="100" spans="1:35" x14ac:dyDescent="0.25">
      <c r="A100">
        <v>136</v>
      </c>
      <c r="B100" t="s">
        <v>360</v>
      </c>
      <c r="C100" t="s">
        <v>361</v>
      </c>
      <c r="D100">
        <v>42</v>
      </c>
      <c r="E100">
        <v>31996</v>
      </c>
      <c r="F100">
        <v>10</v>
      </c>
      <c r="G100">
        <v>31151</v>
      </c>
      <c r="H100">
        <v>0</v>
      </c>
      <c r="I100">
        <v>124</v>
      </c>
      <c r="J100">
        <v>0</v>
      </c>
      <c r="K100">
        <v>29452</v>
      </c>
      <c r="L100">
        <v>28108</v>
      </c>
      <c r="M100">
        <v>1</v>
      </c>
      <c r="N100">
        <v>-2354.6</v>
      </c>
      <c r="O100">
        <v>688.4</v>
      </c>
      <c r="P100">
        <v>-23.55</v>
      </c>
      <c r="Q100">
        <v>6.88</v>
      </c>
      <c r="R100" t="s">
        <v>37</v>
      </c>
      <c r="S100" t="s">
        <v>1277</v>
      </c>
      <c r="T100" s="1">
        <v>43397.621562499997</v>
      </c>
      <c r="U100">
        <v>3</v>
      </c>
      <c r="V100" t="s">
        <v>38</v>
      </c>
      <c r="W100">
        <v>3</v>
      </c>
      <c r="X100" t="s">
        <v>109</v>
      </c>
      <c r="Y100">
        <v>23</v>
      </c>
      <c r="Z100">
        <v>59</v>
      </c>
      <c r="AA100" t="s">
        <v>327</v>
      </c>
      <c r="AB100">
        <v>4</v>
      </c>
      <c r="AC100" t="s">
        <v>67</v>
      </c>
      <c r="AD100">
        <v>311.51</v>
      </c>
      <c r="AE100">
        <v>319.95999999999998</v>
      </c>
      <c r="AF100">
        <v>294.52</v>
      </c>
      <c r="AG100">
        <v>281.08</v>
      </c>
      <c r="AH100" t="s">
        <v>362</v>
      </c>
    </row>
    <row r="101" spans="1:35" x14ac:dyDescent="0.25">
      <c r="A101">
        <v>137</v>
      </c>
      <c r="B101" t="s">
        <v>363</v>
      </c>
      <c r="C101" t="s">
        <v>43</v>
      </c>
      <c r="D101">
        <v>106</v>
      </c>
      <c r="E101">
        <v>5334</v>
      </c>
      <c r="F101">
        <v>75</v>
      </c>
      <c r="G101">
        <v>5289</v>
      </c>
      <c r="H101">
        <v>0</v>
      </c>
      <c r="I101">
        <v>137</v>
      </c>
      <c r="J101">
        <v>0</v>
      </c>
      <c r="K101">
        <v>0</v>
      </c>
      <c r="L101">
        <v>0</v>
      </c>
      <c r="M101">
        <v>1000</v>
      </c>
      <c r="N101">
        <v>-488.4</v>
      </c>
      <c r="O101">
        <v>4800.6000000000004</v>
      </c>
      <c r="P101" s="2">
        <v>-4.88</v>
      </c>
      <c r="Q101">
        <v>48.01</v>
      </c>
      <c r="R101" t="s">
        <v>37</v>
      </c>
      <c r="S101" t="s">
        <v>1277</v>
      </c>
      <c r="T101" s="1">
        <v>43397.621562499997</v>
      </c>
      <c r="U101">
        <v>1</v>
      </c>
      <c r="V101" t="s">
        <v>44</v>
      </c>
      <c r="W101">
        <v>8</v>
      </c>
      <c r="X101" t="s">
        <v>118</v>
      </c>
      <c r="Y101">
        <v>25</v>
      </c>
      <c r="Z101">
        <v>0</v>
      </c>
      <c r="AA101" t="s">
        <v>119</v>
      </c>
      <c r="AB101">
        <v>0</v>
      </c>
      <c r="AC101" t="s">
        <v>43</v>
      </c>
      <c r="AD101">
        <v>52.89</v>
      </c>
      <c r="AE101">
        <v>53.34</v>
      </c>
      <c r="AF101">
        <v>0</v>
      </c>
      <c r="AG101">
        <v>0</v>
      </c>
      <c r="AH101" t="s">
        <v>364</v>
      </c>
      <c r="AI101" t="s">
        <v>43</v>
      </c>
    </row>
    <row r="102" spans="1:35" x14ac:dyDescent="0.25">
      <c r="A102">
        <v>138</v>
      </c>
      <c r="B102" t="s">
        <v>365</v>
      </c>
      <c r="C102" t="s">
        <v>349</v>
      </c>
      <c r="D102">
        <v>83</v>
      </c>
      <c r="E102">
        <v>987</v>
      </c>
      <c r="F102">
        <v>18</v>
      </c>
      <c r="G102">
        <v>740</v>
      </c>
      <c r="H102">
        <v>0</v>
      </c>
      <c r="I102">
        <v>133</v>
      </c>
      <c r="J102">
        <v>0</v>
      </c>
      <c r="K102">
        <v>0</v>
      </c>
      <c r="L102">
        <v>0</v>
      </c>
      <c r="M102">
        <v>1</v>
      </c>
      <c r="N102">
        <v>148.30000000000001</v>
      </c>
      <c r="O102">
        <v>888.3</v>
      </c>
      <c r="P102">
        <v>1.48</v>
      </c>
      <c r="Q102">
        <v>8.8800000000000008</v>
      </c>
      <c r="R102" t="s">
        <v>37</v>
      </c>
      <c r="S102" t="s">
        <v>1277</v>
      </c>
      <c r="T102" s="1">
        <v>43397.621562499997</v>
      </c>
      <c r="U102">
        <v>2</v>
      </c>
      <c r="V102" t="s">
        <v>47</v>
      </c>
      <c r="W102">
        <v>6</v>
      </c>
      <c r="X102" t="s">
        <v>350</v>
      </c>
      <c r="Y102">
        <v>2</v>
      </c>
      <c r="Z102">
        <v>0</v>
      </c>
      <c r="AA102" t="s">
        <v>351</v>
      </c>
      <c r="AB102">
        <v>0</v>
      </c>
      <c r="AC102" t="s">
        <v>43</v>
      </c>
      <c r="AD102">
        <v>7.4</v>
      </c>
      <c r="AE102">
        <v>9.8699999999999992</v>
      </c>
      <c r="AF102">
        <v>0</v>
      </c>
      <c r="AG102">
        <v>0</v>
      </c>
      <c r="AH102" t="s">
        <v>366</v>
      </c>
    </row>
    <row r="103" spans="1:35" x14ac:dyDescent="0.25">
      <c r="A103">
        <v>139</v>
      </c>
      <c r="B103" t="s">
        <v>367</v>
      </c>
      <c r="C103" t="s">
        <v>368</v>
      </c>
      <c r="D103">
        <v>595</v>
      </c>
      <c r="E103">
        <v>74</v>
      </c>
      <c r="F103">
        <v>228</v>
      </c>
      <c r="G103">
        <v>55</v>
      </c>
      <c r="H103">
        <v>0</v>
      </c>
      <c r="I103">
        <v>256</v>
      </c>
      <c r="J103">
        <v>0</v>
      </c>
      <c r="K103">
        <v>0</v>
      </c>
      <c r="L103">
        <v>0</v>
      </c>
      <c r="M103">
        <v>1</v>
      </c>
      <c r="N103">
        <v>11.6</v>
      </c>
      <c r="O103">
        <v>66.599999999999994</v>
      </c>
      <c r="P103">
        <v>0.12</v>
      </c>
      <c r="Q103">
        <v>0.67</v>
      </c>
      <c r="R103" t="s">
        <v>37</v>
      </c>
      <c r="S103" t="s">
        <v>1277</v>
      </c>
      <c r="T103" s="1">
        <v>43397.621562499997</v>
      </c>
      <c r="U103">
        <v>1</v>
      </c>
      <c r="V103" t="s">
        <v>44</v>
      </c>
      <c r="W103">
        <v>3</v>
      </c>
      <c r="X103" t="s">
        <v>109</v>
      </c>
      <c r="Y103">
        <v>27</v>
      </c>
      <c r="Z103">
        <v>0</v>
      </c>
      <c r="AA103" t="s">
        <v>369</v>
      </c>
      <c r="AB103">
        <v>0</v>
      </c>
      <c r="AC103" t="s">
        <v>43</v>
      </c>
      <c r="AD103">
        <v>0.55000000000000004</v>
      </c>
      <c r="AE103">
        <v>0.74</v>
      </c>
      <c r="AF103">
        <v>0</v>
      </c>
      <c r="AG103">
        <v>0</v>
      </c>
      <c r="AH103" t="s">
        <v>370</v>
      </c>
    </row>
    <row r="104" spans="1:35" x14ac:dyDescent="0.25">
      <c r="A104">
        <v>141</v>
      </c>
      <c r="B104" t="s">
        <v>371</v>
      </c>
      <c r="C104" t="s">
        <v>48</v>
      </c>
      <c r="D104">
        <v>17</v>
      </c>
      <c r="E104">
        <v>4980</v>
      </c>
      <c r="F104">
        <v>10</v>
      </c>
      <c r="G104">
        <v>4000</v>
      </c>
      <c r="H104">
        <v>0</v>
      </c>
      <c r="I104">
        <v>238</v>
      </c>
      <c r="J104">
        <v>0</v>
      </c>
      <c r="K104">
        <v>0</v>
      </c>
      <c r="L104">
        <v>0</v>
      </c>
      <c r="M104">
        <v>1</v>
      </c>
      <c r="N104">
        <v>482</v>
      </c>
      <c r="O104">
        <v>4482</v>
      </c>
      <c r="P104">
        <v>4.82</v>
      </c>
      <c r="Q104">
        <v>44.82</v>
      </c>
      <c r="R104" t="s">
        <v>37</v>
      </c>
      <c r="S104" t="s">
        <v>1277</v>
      </c>
      <c r="T104" s="1">
        <v>43397.621562499997</v>
      </c>
      <c r="U104">
        <v>5</v>
      </c>
      <c r="V104" t="s">
        <v>140</v>
      </c>
      <c r="W104">
        <v>7</v>
      </c>
      <c r="X104" t="s">
        <v>49</v>
      </c>
      <c r="Y104">
        <v>10</v>
      </c>
      <c r="Z104">
        <v>0</v>
      </c>
      <c r="AA104" t="s">
        <v>50</v>
      </c>
      <c r="AB104">
        <v>0</v>
      </c>
      <c r="AC104" t="s">
        <v>43</v>
      </c>
      <c r="AD104">
        <v>40</v>
      </c>
      <c r="AE104">
        <v>49.8</v>
      </c>
      <c r="AF104">
        <v>0</v>
      </c>
      <c r="AG104">
        <v>0</v>
      </c>
      <c r="AH104" t="s">
        <v>372</v>
      </c>
      <c r="AI104" t="s">
        <v>43</v>
      </c>
    </row>
    <row r="105" spans="1:35" x14ac:dyDescent="0.25">
      <c r="A105">
        <v>142</v>
      </c>
      <c r="B105" t="s">
        <v>373</v>
      </c>
      <c r="C105" t="s">
        <v>374</v>
      </c>
      <c r="D105">
        <v>75</v>
      </c>
      <c r="E105">
        <v>3175</v>
      </c>
      <c r="F105">
        <v>34</v>
      </c>
      <c r="G105">
        <v>3000</v>
      </c>
      <c r="H105">
        <v>0</v>
      </c>
      <c r="I105">
        <v>85</v>
      </c>
      <c r="J105">
        <v>0</v>
      </c>
      <c r="K105">
        <v>2860</v>
      </c>
      <c r="L105">
        <v>2779</v>
      </c>
      <c r="M105">
        <v>1</v>
      </c>
      <c r="N105">
        <v>-142.5</v>
      </c>
      <c r="O105">
        <v>78.5</v>
      </c>
      <c r="P105">
        <v>-1.43</v>
      </c>
      <c r="Q105">
        <v>0.79</v>
      </c>
      <c r="R105" t="s">
        <v>37</v>
      </c>
      <c r="S105" t="s">
        <v>1277</v>
      </c>
      <c r="T105" s="1">
        <v>43397.621562499997</v>
      </c>
      <c r="U105">
        <v>2</v>
      </c>
      <c r="V105" t="s">
        <v>47</v>
      </c>
      <c r="W105">
        <v>3</v>
      </c>
      <c r="X105" t="s">
        <v>109</v>
      </c>
      <c r="Y105">
        <v>23</v>
      </c>
      <c r="Z105">
        <v>16</v>
      </c>
      <c r="AA105" t="s">
        <v>327</v>
      </c>
      <c r="AB105">
        <v>3</v>
      </c>
      <c r="AC105" t="s">
        <v>72</v>
      </c>
      <c r="AD105">
        <v>30</v>
      </c>
      <c r="AE105">
        <v>31.75</v>
      </c>
      <c r="AF105">
        <v>28.6</v>
      </c>
      <c r="AG105">
        <v>27.79</v>
      </c>
      <c r="AH105" t="s">
        <v>375</v>
      </c>
    </row>
    <row r="106" spans="1:35" x14ac:dyDescent="0.25">
      <c r="A106">
        <v>143</v>
      </c>
      <c r="B106" t="s">
        <v>376</v>
      </c>
      <c r="C106" t="s">
        <v>292</v>
      </c>
      <c r="D106">
        <v>37</v>
      </c>
      <c r="E106">
        <v>32000</v>
      </c>
      <c r="F106">
        <v>18</v>
      </c>
      <c r="G106">
        <v>27531</v>
      </c>
      <c r="H106">
        <v>0</v>
      </c>
      <c r="I106">
        <v>126</v>
      </c>
      <c r="J106">
        <v>0</v>
      </c>
      <c r="K106">
        <v>29788</v>
      </c>
      <c r="L106">
        <v>27634</v>
      </c>
      <c r="M106">
        <v>1</v>
      </c>
      <c r="N106">
        <v>1269</v>
      </c>
      <c r="O106">
        <v>1166</v>
      </c>
      <c r="P106">
        <v>12.69</v>
      </c>
      <c r="Q106">
        <v>11.66</v>
      </c>
      <c r="R106" t="s">
        <v>59</v>
      </c>
      <c r="S106" t="s">
        <v>1277</v>
      </c>
      <c r="T106" s="1">
        <v>43397.621562499997</v>
      </c>
      <c r="U106">
        <v>3</v>
      </c>
      <c r="V106" t="s">
        <v>38</v>
      </c>
      <c r="W106">
        <v>3</v>
      </c>
      <c r="X106" t="s">
        <v>109</v>
      </c>
      <c r="Y106">
        <v>4</v>
      </c>
      <c r="Z106">
        <v>75</v>
      </c>
      <c r="AA106" t="s">
        <v>293</v>
      </c>
      <c r="AB106">
        <v>2</v>
      </c>
      <c r="AC106" t="s">
        <v>41</v>
      </c>
      <c r="AD106">
        <v>275.31</v>
      </c>
      <c r="AE106">
        <v>320</v>
      </c>
      <c r="AF106">
        <v>297.88</v>
      </c>
      <c r="AG106">
        <v>276.33999999999997</v>
      </c>
      <c r="AH106" t="s">
        <v>377</v>
      </c>
    </row>
    <row r="107" spans="1:35" x14ac:dyDescent="0.25">
      <c r="A107">
        <v>144</v>
      </c>
      <c r="B107" t="s">
        <v>378</v>
      </c>
      <c r="C107" t="s">
        <v>287</v>
      </c>
      <c r="D107">
        <v>12</v>
      </c>
      <c r="E107">
        <v>4156</v>
      </c>
      <c r="F107">
        <v>4</v>
      </c>
      <c r="G107">
        <v>3101</v>
      </c>
      <c r="H107">
        <v>0</v>
      </c>
      <c r="I107">
        <v>350</v>
      </c>
      <c r="J107">
        <v>0</v>
      </c>
      <c r="K107">
        <v>0</v>
      </c>
      <c r="L107">
        <v>0</v>
      </c>
      <c r="M107">
        <v>1</v>
      </c>
      <c r="N107">
        <v>639.4</v>
      </c>
      <c r="O107">
        <v>3740.4</v>
      </c>
      <c r="P107">
        <v>6.39</v>
      </c>
      <c r="Q107">
        <v>37.4</v>
      </c>
      <c r="R107" t="s">
        <v>37</v>
      </c>
      <c r="S107" t="s">
        <v>1277</v>
      </c>
      <c r="T107" s="1">
        <v>43397.621562499997</v>
      </c>
      <c r="U107">
        <v>1</v>
      </c>
      <c r="V107" t="s">
        <v>44</v>
      </c>
      <c r="W107">
        <v>7</v>
      </c>
      <c r="X107" t="s">
        <v>49</v>
      </c>
      <c r="Y107">
        <v>10</v>
      </c>
      <c r="Z107">
        <v>0</v>
      </c>
      <c r="AA107" t="s">
        <v>50</v>
      </c>
      <c r="AB107">
        <v>0</v>
      </c>
      <c r="AC107" t="s">
        <v>43</v>
      </c>
      <c r="AD107">
        <v>31.01</v>
      </c>
      <c r="AE107">
        <v>41.56</v>
      </c>
      <c r="AF107">
        <v>0</v>
      </c>
      <c r="AG107">
        <v>0</v>
      </c>
      <c r="AH107" t="s">
        <v>379</v>
      </c>
      <c r="AI107" t="s">
        <v>43</v>
      </c>
    </row>
    <row r="108" spans="1:35" x14ac:dyDescent="0.25">
      <c r="A108">
        <v>145</v>
      </c>
      <c r="B108" t="s">
        <v>380</v>
      </c>
      <c r="C108" t="s">
        <v>48</v>
      </c>
      <c r="D108">
        <v>9</v>
      </c>
      <c r="E108">
        <v>3851</v>
      </c>
      <c r="F108">
        <v>9</v>
      </c>
      <c r="G108">
        <v>3032</v>
      </c>
      <c r="H108">
        <v>0</v>
      </c>
      <c r="I108">
        <v>262</v>
      </c>
      <c r="J108">
        <v>0</v>
      </c>
      <c r="K108">
        <v>0</v>
      </c>
      <c r="L108">
        <v>0</v>
      </c>
      <c r="M108">
        <v>1</v>
      </c>
      <c r="N108">
        <v>433.9</v>
      </c>
      <c r="O108">
        <v>3465.9</v>
      </c>
      <c r="P108">
        <v>4.34</v>
      </c>
      <c r="Q108">
        <v>34.659999999999997</v>
      </c>
      <c r="R108" t="s">
        <v>37</v>
      </c>
      <c r="S108" t="s">
        <v>1277</v>
      </c>
      <c r="T108" s="1">
        <v>43397.621562499997</v>
      </c>
      <c r="U108">
        <v>5</v>
      </c>
      <c r="V108" t="s">
        <v>140</v>
      </c>
      <c r="W108">
        <v>7</v>
      </c>
      <c r="X108" t="s">
        <v>49</v>
      </c>
      <c r="Y108">
        <v>10</v>
      </c>
      <c r="Z108">
        <v>0</v>
      </c>
      <c r="AA108" t="s">
        <v>50</v>
      </c>
      <c r="AB108">
        <v>0</v>
      </c>
      <c r="AC108" t="s">
        <v>43</v>
      </c>
      <c r="AD108">
        <v>30.32</v>
      </c>
      <c r="AE108">
        <v>38.51</v>
      </c>
      <c r="AF108">
        <v>0</v>
      </c>
      <c r="AG108">
        <v>0</v>
      </c>
      <c r="AH108" t="s">
        <v>381</v>
      </c>
      <c r="AI108" t="s">
        <v>43</v>
      </c>
    </row>
    <row r="109" spans="1:35" x14ac:dyDescent="0.25">
      <c r="A109">
        <v>148</v>
      </c>
      <c r="B109" t="s">
        <v>382</v>
      </c>
      <c r="C109" t="s">
        <v>48</v>
      </c>
      <c r="D109">
        <v>14</v>
      </c>
      <c r="E109">
        <v>8200</v>
      </c>
      <c r="F109">
        <v>3</v>
      </c>
      <c r="G109">
        <v>6772</v>
      </c>
      <c r="H109">
        <v>0</v>
      </c>
      <c r="I109">
        <v>193</v>
      </c>
      <c r="J109">
        <v>0</v>
      </c>
      <c r="K109">
        <v>0</v>
      </c>
      <c r="L109">
        <v>0</v>
      </c>
      <c r="M109">
        <v>1</v>
      </c>
      <c r="N109">
        <v>608</v>
      </c>
      <c r="O109">
        <v>7380</v>
      </c>
      <c r="P109">
        <v>6.08</v>
      </c>
      <c r="Q109">
        <v>73.8</v>
      </c>
      <c r="R109" t="s">
        <v>37</v>
      </c>
      <c r="S109" t="s">
        <v>1277</v>
      </c>
      <c r="T109" s="1">
        <v>43397.621562499997</v>
      </c>
      <c r="U109">
        <v>5</v>
      </c>
      <c r="V109" t="s">
        <v>140</v>
      </c>
      <c r="W109">
        <v>7</v>
      </c>
      <c r="X109" t="s">
        <v>49</v>
      </c>
      <c r="Y109">
        <v>10</v>
      </c>
      <c r="Z109">
        <v>0</v>
      </c>
      <c r="AA109" t="s">
        <v>50</v>
      </c>
      <c r="AB109">
        <v>0</v>
      </c>
      <c r="AC109" t="s">
        <v>43</v>
      </c>
      <c r="AD109">
        <v>67.72</v>
      </c>
      <c r="AE109">
        <v>82</v>
      </c>
      <c r="AF109">
        <v>0</v>
      </c>
      <c r="AG109">
        <v>0</v>
      </c>
      <c r="AH109" t="s">
        <v>383</v>
      </c>
      <c r="AI109" t="s">
        <v>43</v>
      </c>
    </row>
    <row r="110" spans="1:35" x14ac:dyDescent="0.25">
      <c r="A110">
        <v>149</v>
      </c>
      <c r="B110" t="s">
        <v>384</v>
      </c>
      <c r="C110" t="s">
        <v>48</v>
      </c>
      <c r="D110">
        <v>6</v>
      </c>
      <c r="E110">
        <v>529999</v>
      </c>
      <c r="F110">
        <v>8</v>
      </c>
      <c r="G110">
        <v>330560</v>
      </c>
      <c r="H110">
        <v>0</v>
      </c>
      <c r="I110">
        <v>187</v>
      </c>
      <c r="J110">
        <v>0</v>
      </c>
      <c r="K110">
        <v>0</v>
      </c>
      <c r="L110">
        <v>0</v>
      </c>
      <c r="M110">
        <v>1</v>
      </c>
      <c r="N110">
        <v>146439.1</v>
      </c>
      <c r="O110">
        <v>476999.1</v>
      </c>
      <c r="P110">
        <v>1464.39</v>
      </c>
      <c r="Q110">
        <v>4769.99</v>
      </c>
      <c r="R110" t="s">
        <v>37</v>
      </c>
      <c r="S110" t="s">
        <v>1277</v>
      </c>
      <c r="T110" s="1">
        <v>43397.621562499997</v>
      </c>
      <c r="U110">
        <v>3</v>
      </c>
      <c r="V110" t="s">
        <v>38</v>
      </c>
      <c r="W110">
        <v>7</v>
      </c>
      <c r="X110" t="s">
        <v>49</v>
      </c>
      <c r="Y110">
        <v>10</v>
      </c>
      <c r="Z110">
        <v>0</v>
      </c>
      <c r="AA110" t="s">
        <v>50</v>
      </c>
      <c r="AB110">
        <v>0</v>
      </c>
      <c r="AC110" t="s">
        <v>43</v>
      </c>
      <c r="AD110">
        <v>3305.6</v>
      </c>
      <c r="AE110">
        <v>5299.99</v>
      </c>
      <c r="AF110">
        <v>0</v>
      </c>
      <c r="AG110">
        <v>0</v>
      </c>
      <c r="AH110" t="s">
        <v>385</v>
      </c>
      <c r="AI110" t="s">
        <v>43</v>
      </c>
    </row>
    <row r="111" spans="1:35" x14ac:dyDescent="0.25">
      <c r="A111">
        <v>150</v>
      </c>
      <c r="B111" t="s">
        <v>386</v>
      </c>
      <c r="C111" t="s">
        <v>344</v>
      </c>
      <c r="D111">
        <v>5</v>
      </c>
      <c r="E111">
        <v>4389</v>
      </c>
      <c r="F111">
        <v>8</v>
      </c>
      <c r="G111">
        <v>3301</v>
      </c>
      <c r="H111">
        <v>0</v>
      </c>
      <c r="I111">
        <v>263</v>
      </c>
      <c r="J111">
        <v>0</v>
      </c>
      <c r="K111">
        <v>0</v>
      </c>
      <c r="L111">
        <v>0</v>
      </c>
      <c r="M111">
        <v>1</v>
      </c>
      <c r="N111">
        <v>649.1</v>
      </c>
      <c r="O111">
        <v>3950.1</v>
      </c>
      <c r="P111">
        <v>6.49</v>
      </c>
      <c r="Q111">
        <v>39.5</v>
      </c>
      <c r="R111" t="s">
        <v>37</v>
      </c>
      <c r="S111" t="s">
        <v>1277</v>
      </c>
      <c r="T111" s="1">
        <v>43397.621562499997</v>
      </c>
      <c r="U111">
        <v>5</v>
      </c>
      <c r="V111" t="s">
        <v>140</v>
      </c>
      <c r="W111">
        <v>7</v>
      </c>
      <c r="X111" t="s">
        <v>49</v>
      </c>
      <c r="Y111">
        <v>10</v>
      </c>
      <c r="Z111">
        <v>0</v>
      </c>
      <c r="AA111" t="s">
        <v>50</v>
      </c>
      <c r="AB111">
        <v>0</v>
      </c>
      <c r="AC111" t="s">
        <v>43</v>
      </c>
      <c r="AD111">
        <v>33.01</v>
      </c>
      <c r="AE111">
        <v>43.89</v>
      </c>
      <c r="AF111">
        <v>0</v>
      </c>
      <c r="AG111">
        <v>0</v>
      </c>
      <c r="AH111" t="s">
        <v>387</v>
      </c>
      <c r="AI111" t="s">
        <v>43</v>
      </c>
    </row>
    <row r="112" spans="1:35" x14ac:dyDescent="0.25">
      <c r="A112">
        <v>151</v>
      </c>
      <c r="B112" t="s">
        <v>388</v>
      </c>
      <c r="C112" t="s">
        <v>389</v>
      </c>
      <c r="D112">
        <v>30</v>
      </c>
      <c r="E112">
        <v>7499</v>
      </c>
      <c r="F112">
        <v>22</v>
      </c>
      <c r="G112">
        <v>6276</v>
      </c>
      <c r="H112">
        <v>0</v>
      </c>
      <c r="I112">
        <v>232</v>
      </c>
      <c r="J112">
        <v>0</v>
      </c>
      <c r="K112">
        <v>0</v>
      </c>
      <c r="L112">
        <v>0</v>
      </c>
      <c r="M112">
        <v>1</v>
      </c>
      <c r="N112">
        <v>473.1</v>
      </c>
      <c r="O112">
        <v>6749.1</v>
      </c>
      <c r="P112">
        <v>4.7300000000000004</v>
      </c>
      <c r="Q112">
        <v>67.489999999999995</v>
      </c>
      <c r="R112" t="s">
        <v>37</v>
      </c>
      <c r="S112" t="s">
        <v>1277</v>
      </c>
      <c r="T112" s="1">
        <v>43397.621562499997</v>
      </c>
      <c r="U112">
        <v>3</v>
      </c>
      <c r="V112" t="s">
        <v>38</v>
      </c>
      <c r="W112">
        <v>6</v>
      </c>
      <c r="X112" t="s">
        <v>350</v>
      </c>
      <c r="Y112">
        <v>2</v>
      </c>
      <c r="Z112">
        <v>0</v>
      </c>
      <c r="AA112" t="s">
        <v>351</v>
      </c>
      <c r="AB112">
        <v>0</v>
      </c>
      <c r="AC112" t="s">
        <v>43</v>
      </c>
      <c r="AD112">
        <v>62.76</v>
      </c>
      <c r="AE112">
        <v>74.989999999999995</v>
      </c>
      <c r="AF112">
        <v>0</v>
      </c>
      <c r="AG112">
        <v>0</v>
      </c>
      <c r="AH112" t="s">
        <v>390</v>
      </c>
    </row>
    <row r="113" spans="1:35" x14ac:dyDescent="0.25">
      <c r="A113">
        <v>152</v>
      </c>
      <c r="B113" t="s">
        <v>391</v>
      </c>
      <c r="C113" t="s">
        <v>392</v>
      </c>
      <c r="D113">
        <v>18</v>
      </c>
      <c r="E113">
        <v>3300</v>
      </c>
      <c r="F113">
        <v>22</v>
      </c>
      <c r="G113">
        <v>3299</v>
      </c>
      <c r="H113">
        <v>0</v>
      </c>
      <c r="I113">
        <v>100</v>
      </c>
      <c r="J113">
        <v>0</v>
      </c>
      <c r="K113">
        <v>2706</v>
      </c>
      <c r="L113">
        <v>2619</v>
      </c>
      <c r="M113">
        <v>1</v>
      </c>
      <c r="N113">
        <v>-329</v>
      </c>
      <c r="O113">
        <v>351</v>
      </c>
      <c r="P113">
        <v>-3.29</v>
      </c>
      <c r="Q113">
        <v>3.51</v>
      </c>
      <c r="R113" t="s">
        <v>37</v>
      </c>
      <c r="S113" t="s">
        <v>1277</v>
      </c>
      <c r="T113" s="1">
        <v>43397.621562499997</v>
      </c>
      <c r="U113">
        <v>2</v>
      </c>
      <c r="V113" t="s">
        <v>47</v>
      </c>
      <c r="W113">
        <v>3</v>
      </c>
      <c r="X113" t="s">
        <v>109</v>
      </c>
      <c r="Y113">
        <v>23</v>
      </c>
      <c r="Z113">
        <v>5</v>
      </c>
      <c r="AA113" t="s">
        <v>327</v>
      </c>
      <c r="AB113">
        <v>4</v>
      </c>
      <c r="AC113" t="s">
        <v>67</v>
      </c>
      <c r="AD113">
        <v>32.99</v>
      </c>
      <c r="AE113">
        <v>33</v>
      </c>
      <c r="AF113">
        <v>27.06</v>
      </c>
      <c r="AG113">
        <v>26.19</v>
      </c>
      <c r="AH113" t="s">
        <v>393</v>
      </c>
    </row>
    <row r="114" spans="1:35" x14ac:dyDescent="0.25">
      <c r="A114">
        <v>153</v>
      </c>
      <c r="B114" t="s">
        <v>394</v>
      </c>
      <c r="C114" t="s">
        <v>349</v>
      </c>
      <c r="D114">
        <v>78</v>
      </c>
      <c r="E114">
        <v>507</v>
      </c>
      <c r="F114">
        <v>54</v>
      </c>
      <c r="G114">
        <v>348</v>
      </c>
      <c r="H114">
        <v>0</v>
      </c>
      <c r="I114">
        <v>167</v>
      </c>
      <c r="J114">
        <v>0</v>
      </c>
      <c r="K114">
        <v>0</v>
      </c>
      <c r="L114">
        <v>0</v>
      </c>
      <c r="M114">
        <v>1</v>
      </c>
      <c r="N114">
        <v>108.3</v>
      </c>
      <c r="O114">
        <v>456.3</v>
      </c>
      <c r="P114">
        <v>1.08</v>
      </c>
      <c r="Q114">
        <v>4.5599999999999996</v>
      </c>
      <c r="R114" t="s">
        <v>37</v>
      </c>
      <c r="S114" t="s">
        <v>1277</v>
      </c>
      <c r="T114" s="1">
        <v>43397.621562499997</v>
      </c>
      <c r="U114">
        <v>1</v>
      </c>
      <c r="V114" t="s">
        <v>44</v>
      </c>
      <c r="W114">
        <v>6</v>
      </c>
      <c r="X114" t="s">
        <v>350</v>
      </c>
      <c r="Y114">
        <v>2</v>
      </c>
      <c r="Z114">
        <v>0</v>
      </c>
      <c r="AA114" t="s">
        <v>351</v>
      </c>
      <c r="AB114">
        <v>0</v>
      </c>
      <c r="AC114" t="s">
        <v>43</v>
      </c>
      <c r="AD114">
        <v>3.48</v>
      </c>
      <c r="AE114">
        <v>5.07</v>
      </c>
      <c r="AF114">
        <v>0</v>
      </c>
      <c r="AG114">
        <v>0</v>
      </c>
      <c r="AH114" t="s">
        <v>395</v>
      </c>
    </row>
    <row r="115" spans="1:35" x14ac:dyDescent="0.25">
      <c r="A115">
        <v>155</v>
      </c>
      <c r="B115" t="s">
        <v>396</v>
      </c>
      <c r="C115" t="s">
        <v>349</v>
      </c>
      <c r="D115">
        <v>3</v>
      </c>
      <c r="E115">
        <v>144986</v>
      </c>
      <c r="F115">
        <v>7</v>
      </c>
      <c r="G115">
        <v>100103</v>
      </c>
      <c r="H115">
        <v>0</v>
      </c>
      <c r="I115">
        <v>428</v>
      </c>
      <c r="J115">
        <v>0</v>
      </c>
      <c r="K115">
        <v>0</v>
      </c>
      <c r="L115">
        <v>0</v>
      </c>
      <c r="M115">
        <v>1</v>
      </c>
      <c r="N115">
        <v>30384.400000000001</v>
      </c>
      <c r="O115">
        <v>130487.4</v>
      </c>
      <c r="P115">
        <v>303.83999999999997</v>
      </c>
      <c r="Q115">
        <v>1304.8699999999999</v>
      </c>
      <c r="R115" t="s">
        <v>37</v>
      </c>
      <c r="S115" t="s">
        <v>1277</v>
      </c>
      <c r="T115" s="1">
        <v>43397.621562499997</v>
      </c>
      <c r="U115">
        <v>4</v>
      </c>
      <c r="V115" t="s">
        <v>55</v>
      </c>
      <c r="W115">
        <v>6</v>
      </c>
      <c r="X115" t="s">
        <v>350</v>
      </c>
      <c r="Y115">
        <v>2</v>
      </c>
      <c r="Z115">
        <v>0</v>
      </c>
      <c r="AA115" t="s">
        <v>351</v>
      </c>
      <c r="AB115">
        <v>0</v>
      </c>
      <c r="AC115" t="s">
        <v>43</v>
      </c>
      <c r="AD115">
        <v>1001.03</v>
      </c>
      <c r="AE115">
        <v>1449.86</v>
      </c>
      <c r="AF115">
        <v>0</v>
      </c>
      <c r="AG115">
        <v>0</v>
      </c>
      <c r="AH115" t="s">
        <v>397</v>
      </c>
    </row>
    <row r="116" spans="1:35" x14ac:dyDescent="0.25">
      <c r="A116">
        <v>156</v>
      </c>
      <c r="B116" t="s">
        <v>398</v>
      </c>
      <c r="C116" t="s">
        <v>349</v>
      </c>
      <c r="D116">
        <v>57</v>
      </c>
      <c r="E116">
        <v>10099</v>
      </c>
      <c r="F116">
        <v>38</v>
      </c>
      <c r="G116">
        <v>9000</v>
      </c>
      <c r="H116">
        <v>0</v>
      </c>
      <c r="I116">
        <v>80</v>
      </c>
      <c r="J116">
        <v>0</v>
      </c>
      <c r="K116">
        <v>0</v>
      </c>
      <c r="L116">
        <v>0</v>
      </c>
      <c r="M116">
        <v>1</v>
      </c>
      <c r="N116">
        <v>89.1</v>
      </c>
      <c r="O116">
        <v>9089.1</v>
      </c>
      <c r="P116">
        <v>0.89</v>
      </c>
      <c r="Q116">
        <v>90.89</v>
      </c>
      <c r="R116" t="s">
        <v>37</v>
      </c>
      <c r="S116" t="s">
        <v>1277</v>
      </c>
      <c r="T116" s="1">
        <v>43397.621562499997</v>
      </c>
      <c r="U116">
        <v>2</v>
      </c>
      <c r="V116" t="s">
        <v>47</v>
      </c>
      <c r="W116">
        <v>6</v>
      </c>
      <c r="X116" t="s">
        <v>350</v>
      </c>
      <c r="Y116">
        <v>2</v>
      </c>
      <c r="Z116">
        <v>0</v>
      </c>
      <c r="AA116" t="s">
        <v>351</v>
      </c>
      <c r="AB116">
        <v>0</v>
      </c>
      <c r="AC116" t="s">
        <v>43</v>
      </c>
      <c r="AD116">
        <v>90</v>
      </c>
      <c r="AE116">
        <v>100.99</v>
      </c>
      <c r="AF116">
        <v>0</v>
      </c>
      <c r="AG116">
        <v>0</v>
      </c>
      <c r="AH116" t="s">
        <v>399</v>
      </c>
    </row>
    <row r="117" spans="1:35" x14ac:dyDescent="0.25">
      <c r="A117">
        <v>157</v>
      </c>
      <c r="B117" t="s">
        <v>400</v>
      </c>
      <c r="C117" t="s">
        <v>401</v>
      </c>
      <c r="D117">
        <v>31</v>
      </c>
      <c r="E117">
        <v>1645</v>
      </c>
      <c r="F117">
        <v>32</v>
      </c>
      <c r="G117">
        <v>1224</v>
      </c>
      <c r="H117">
        <v>0</v>
      </c>
      <c r="I117">
        <v>246</v>
      </c>
      <c r="J117">
        <v>0</v>
      </c>
      <c r="K117">
        <v>0</v>
      </c>
      <c r="L117">
        <v>0</v>
      </c>
      <c r="M117">
        <v>1</v>
      </c>
      <c r="N117">
        <v>256.5</v>
      </c>
      <c r="O117">
        <v>1480.5</v>
      </c>
      <c r="P117">
        <v>2.57</v>
      </c>
      <c r="Q117">
        <v>14.81</v>
      </c>
      <c r="R117" t="s">
        <v>37</v>
      </c>
      <c r="S117" t="s">
        <v>1277</v>
      </c>
      <c r="T117" s="1">
        <v>43397.621562499997</v>
      </c>
      <c r="U117">
        <v>2</v>
      </c>
      <c r="V117" t="s">
        <v>47</v>
      </c>
      <c r="W117">
        <v>6</v>
      </c>
      <c r="X117" t="s">
        <v>350</v>
      </c>
      <c r="Y117">
        <v>2</v>
      </c>
      <c r="Z117">
        <v>0</v>
      </c>
      <c r="AA117" t="s">
        <v>351</v>
      </c>
      <c r="AB117">
        <v>0</v>
      </c>
      <c r="AC117" t="s">
        <v>43</v>
      </c>
      <c r="AD117">
        <v>12.24</v>
      </c>
      <c r="AE117">
        <v>16.45</v>
      </c>
      <c r="AF117">
        <v>0</v>
      </c>
      <c r="AG117">
        <v>0</v>
      </c>
      <c r="AH117" t="s">
        <v>402</v>
      </c>
    </row>
    <row r="118" spans="1:35" x14ac:dyDescent="0.25">
      <c r="A118">
        <v>158</v>
      </c>
      <c r="B118" t="s">
        <v>403</v>
      </c>
      <c r="C118" t="s">
        <v>48</v>
      </c>
      <c r="D118">
        <v>6</v>
      </c>
      <c r="E118">
        <v>210000</v>
      </c>
      <c r="F118">
        <v>5</v>
      </c>
      <c r="G118">
        <v>140225</v>
      </c>
      <c r="H118">
        <v>0</v>
      </c>
      <c r="I118">
        <v>211</v>
      </c>
      <c r="J118">
        <v>0</v>
      </c>
      <c r="K118">
        <v>0</v>
      </c>
      <c r="L118">
        <v>0</v>
      </c>
      <c r="M118">
        <v>1</v>
      </c>
      <c r="N118">
        <v>48775</v>
      </c>
      <c r="O118">
        <v>189000</v>
      </c>
      <c r="P118">
        <v>487.75</v>
      </c>
      <c r="Q118">
        <v>1890</v>
      </c>
      <c r="R118" t="s">
        <v>37</v>
      </c>
      <c r="S118" t="s">
        <v>1277</v>
      </c>
      <c r="T118" s="1">
        <v>43397.621562499997</v>
      </c>
      <c r="U118">
        <v>3</v>
      </c>
      <c r="V118" t="s">
        <v>38</v>
      </c>
      <c r="W118">
        <v>7</v>
      </c>
      <c r="X118" t="s">
        <v>49</v>
      </c>
      <c r="Y118">
        <v>10</v>
      </c>
      <c r="Z118">
        <v>0</v>
      </c>
      <c r="AA118" t="s">
        <v>50</v>
      </c>
      <c r="AB118">
        <v>0</v>
      </c>
      <c r="AC118" t="s">
        <v>43</v>
      </c>
      <c r="AD118">
        <v>1402.25</v>
      </c>
      <c r="AE118">
        <v>2100</v>
      </c>
      <c r="AF118">
        <v>0</v>
      </c>
      <c r="AG118">
        <v>0</v>
      </c>
      <c r="AH118" t="s">
        <v>404</v>
      </c>
      <c r="AI118" t="s">
        <v>43</v>
      </c>
    </row>
    <row r="119" spans="1:35" x14ac:dyDescent="0.25">
      <c r="A119">
        <v>160</v>
      </c>
      <c r="B119" t="s">
        <v>405</v>
      </c>
      <c r="C119" t="s">
        <v>48</v>
      </c>
      <c r="D119">
        <v>11</v>
      </c>
      <c r="E119">
        <v>239400</v>
      </c>
      <c r="F119">
        <v>8</v>
      </c>
      <c r="G119">
        <v>150200</v>
      </c>
      <c r="H119">
        <v>0</v>
      </c>
      <c r="I119">
        <v>194</v>
      </c>
      <c r="J119">
        <v>0</v>
      </c>
      <c r="K119">
        <v>0</v>
      </c>
      <c r="L119">
        <v>0</v>
      </c>
      <c r="M119">
        <v>1</v>
      </c>
      <c r="N119">
        <v>65260</v>
      </c>
      <c r="O119">
        <v>215460</v>
      </c>
      <c r="P119">
        <v>652.6</v>
      </c>
      <c r="Q119">
        <v>2154.6</v>
      </c>
      <c r="R119" t="s">
        <v>37</v>
      </c>
      <c r="S119" t="s">
        <v>1277</v>
      </c>
      <c r="T119" s="1">
        <v>43397.621562499997</v>
      </c>
      <c r="U119">
        <v>3</v>
      </c>
      <c r="V119" t="s">
        <v>38</v>
      </c>
      <c r="W119">
        <v>7</v>
      </c>
      <c r="X119" t="s">
        <v>49</v>
      </c>
      <c r="Y119">
        <v>10</v>
      </c>
      <c r="Z119">
        <v>0</v>
      </c>
      <c r="AA119" t="s">
        <v>50</v>
      </c>
      <c r="AB119">
        <v>0</v>
      </c>
      <c r="AC119" t="s">
        <v>43</v>
      </c>
      <c r="AD119">
        <v>1502</v>
      </c>
      <c r="AE119">
        <v>2394</v>
      </c>
      <c r="AF119">
        <v>0</v>
      </c>
      <c r="AG119">
        <v>0</v>
      </c>
      <c r="AH119" t="s">
        <v>406</v>
      </c>
      <c r="AI119" t="s">
        <v>43</v>
      </c>
    </row>
    <row r="120" spans="1:35" x14ac:dyDescent="0.25">
      <c r="A120">
        <v>161</v>
      </c>
      <c r="B120" t="s">
        <v>407</v>
      </c>
      <c r="C120" t="s">
        <v>408</v>
      </c>
      <c r="D120">
        <v>27</v>
      </c>
      <c r="E120">
        <v>6975</v>
      </c>
      <c r="F120">
        <v>13</v>
      </c>
      <c r="G120">
        <v>5881</v>
      </c>
      <c r="H120">
        <v>0</v>
      </c>
      <c r="I120">
        <v>244</v>
      </c>
      <c r="J120">
        <v>0</v>
      </c>
      <c r="K120">
        <v>0</v>
      </c>
      <c r="L120">
        <v>0</v>
      </c>
      <c r="M120">
        <v>1</v>
      </c>
      <c r="N120">
        <v>396.5</v>
      </c>
      <c r="O120">
        <v>6277.5</v>
      </c>
      <c r="P120">
        <v>3.97</v>
      </c>
      <c r="Q120">
        <v>62.78</v>
      </c>
      <c r="R120" t="s">
        <v>37</v>
      </c>
      <c r="S120" t="s">
        <v>1277</v>
      </c>
      <c r="T120" s="1">
        <v>43397.621562499997</v>
      </c>
      <c r="U120">
        <v>2</v>
      </c>
      <c r="V120" t="s">
        <v>47</v>
      </c>
      <c r="W120">
        <v>6</v>
      </c>
      <c r="X120" t="s">
        <v>350</v>
      </c>
      <c r="Y120">
        <v>2</v>
      </c>
      <c r="Z120">
        <v>0</v>
      </c>
      <c r="AA120" t="s">
        <v>351</v>
      </c>
      <c r="AB120">
        <v>0</v>
      </c>
      <c r="AC120" t="s">
        <v>43</v>
      </c>
      <c r="AD120">
        <v>58.81</v>
      </c>
      <c r="AE120">
        <v>69.75</v>
      </c>
      <c r="AF120">
        <v>0</v>
      </c>
      <c r="AG120">
        <v>0</v>
      </c>
      <c r="AH120" t="s">
        <v>409</v>
      </c>
    </row>
    <row r="121" spans="1:35" x14ac:dyDescent="0.25">
      <c r="A121">
        <v>162</v>
      </c>
      <c r="B121" t="s">
        <v>410</v>
      </c>
      <c r="C121" t="s">
        <v>411</v>
      </c>
      <c r="D121">
        <v>12</v>
      </c>
      <c r="E121">
        <v>25500</v>
      </c>
      <c r="F121">
        <v>6</v>
      </c>
      <c r="G121">
        <v>19101</v>
      </c>
      <c r="H121">
        <v>0</v>
      </c>
      <c r="I121">
        <v>226</v>
      </c>
      <c r="J121">
        <v>0</v>
      </c>
      <c r="K121">
        <v>0</v>
      </c>
      <c r="L121">
        <v>0</v>
      </c>
      <c r="M121">
        <v>1</v>
      </c>
      <c r="N121">
        <v>3849</v>
      </c>
      <c r="O121">
        <v>22950</v>
      </c>
      <c r="P121">
        <v>38.49</v>
      </c>
      <c r="Q121">
        <v>229.5</v>
      </c>
      <c r="R121" t="s">
        <v>37</v>
      </c>
      <c r="S121" t="s">
        <v>1277</v>
      </c>
      <c r="T121" s="1">
        <v>43397.621562499997</v>
      </c>
      <c r="U121">
        <v>3</v>
      </c>
      <c r="V121" t="s">
        <v>38</v>
      </c>
      <c r="W121">
        <v>6</v>
      </c>
      <c r="X121" t="s">
        <v>350</v>
      </c>
      <c r="Y121">
        <v>2</v>
      </c>
      <c r="Z121">
        <v>0</v>
      </c>
      <c r="AA121" t="s">
        <v>351</v>
      </c>
      <c r="AB121">
        <v>0</v>
      </c>
      <c r="AC121" t="s">
        <v>43</v>
      </c>
      <c r="AD121">
        <v>191.01</v>
      </c>
      <c r="AE121">
        <v>255</v>
      </c>
      <c r="AF121">
        <v>0</v>
      </c>
      <c r="AG121">
        <v>0</v>
      </c>
      <c r="AH121" t="s">
        <v>412</v>
      </c>
    </row>
    <row r="122" spans="1:35" x14ac:dyDescent="0.25">
      <c r="A122">
        <v>163</v>
      </c>
      <c r="B122" t="s">
        <v>413</v>
      </c>
      <c r="C122" t="s">
        <v>414</v>
      </c>
      <c r="D122">
        <v>832</v>
      </c>
      <c r="E122">
        <v>20</v>
      </c>
      <c r="F122">
        <v>168</v>
      </c>
      <c r="G122">
        <v>17</v>
      </c>
      <c r="H122">
        <v>0</v>
      </c>
      <c r="I122">
        <v>227</v>
      </c>
      <c r="J122">
        <v>0</v>
      </c>
      <c r="K122">
        <v>0</v>
      </c>
      <c r="L122">
        <v>0</v>
      </c>
      <c r="M122">
        <v>1</v>
      </c>
      <c r="N122">
        <v>1</v>
      </c>
      <c r="O122">
        <v>18</v>
      </c>
      <c r="P122">
        <v>0.01</v>
      </c>
      <c r="Q122">
        <v>0.18</v>
      </c>
      <c r="R122" t="s">
        <v>37</v>
      </c>
      <c r="S122" t="s">
        <v>1277</v>
      </c>
      <c r="T122" s="1">
        <v>43397.621562499997</v>
      </c>
      <c r="U122">
        <v>1</v>
      </c>
      <c r="V122" t="s">
        <v>44</v>
      </c>
      <c r="W122">
        <v>4</v>
      </c>
      <c r="X122" t="s">
        <v>114</v>
      </c>
      <c r="Y122">
        <v>35</v>
      </c>
      <c r="Z122">
        <v>0</v>
      </c>
      <c r="AA122" t="s">
        <v>165</v>
      </c>
      <c r="AB122">
        <v>0</v>
      </c>
      <c r="AC122" t="s">
        <v>43</v>
      </c>
      <c r="AD122">
        <v>0.17</v>
      </c>
      <c r="AE122">
        <v>0.2</v>
      </c>
      <c r="AF122">
        <v>0</v>
      </c>
      <c r="AG122">
        <v>0</v>
      </c>
      <c r="AH122" t="s">
        <v>415</v>
      </c>
    </row>
    <row r="123" spans="1:35" x14ac:dyDescent="0.25">
      <c r="A123">
        <v>164</v>
      </c>
      <c r="B123" t="s">
        <v>416</v>
      </c>
      <c r="C123" t="s">
        <v>349</v>
      </c>
      <c r="D123">
        <v>63</v>
      </c>
      <c r="E123">
        <v>4248</v>
      </c>
      <c r="F123">
        <v>19</v>
      </c>
      <c r="G123">
        <v>3300</v>
      </c>
      <c r="H123">
        <v>0</v>
      </c>
      <c r="I123">
        <v>222</v>
      </c>
      <c r="J123">
        <v>1</v>
      </c>
      <c r="K123">
        <v>26773</v>
      </c>
      <c r="L123">
        <v>6285</v>
      </c>
      <c r="M123">
        <v>1</v>
      </c>
      <c r="N123">
        <v>523.20000000000005</v>
      </c>
      <c r="O123">
        <v>-2461.8000000000002</v>
      </c>
      <c r="P123">
        <v>5.23</v>
      </c>
      <c r="Q123">
        <v>-24.62</v>
      </c>
      <c r="R123" t="s">
        <v>59</v>
      </c>
      <c r="S123" t="s">
        <v>1277</v>
      </c>
      <c r="T123" s="1">
        <v>43397.621562499997</v>
      </c>
      <c r="U123">
        <v>3</v>
      </c>
      <c r="V123" t="s">
        <v>38</v>
      </c>
      <c r="W123">
        <v>6</v>
      </c>
      <c r="X123" t="s">
        <v>350</v>
      </c>
      <c r="Y123">
        <v>2</v>
      </c>
      <c r="Z123">
        <v>124</v>
      </c>
      <c r="AA123" t="s">
        <v>351</v>
      </c>
      <c r="AB123">
        <v>1</v>
      </c>
      <c r="AC123" t="s">
        <v>60</v>
      </c>
      <c r="AD123">
        <v>33</v>
      </c>
      <c r="AE123">
        <v>42.48</v>
      </c>
      <c r="AF123">
        <v>267.73</v>
      </c>
      <c r="AG123">
        <v>62.85</v>
      </c>
      <c r="AH123" t="s">
        <v>417</v>
      </c>
    </row>
    <row r="124" spans="1:35" x14ac:dyDescent="0.25">
      <c r="A124">
        <v>165</v>
      </c>
      <c r="B124" t="s">
        <v>418</v>
      </c>
      <c r="C124" t="s">
        <v>419</v>
      </c>
      <c r="D124">
        <v>1415</v>
      </c>
      <c r="E124">
        <v>9</v>
      </c>
      <c r="F124">
        <v>418</v>
      </c>
      <c r="G124">
        <v>5</v>
      </c>
      <c r="H124">
        <v>0</v>
      </c>
      <c r="I124">
        <v>258</v>
      </c>
      <c r="J124">
        <v>0</v>
      </c>
      <c r="K124">
        <v>0</v>
      </c>
      <c r="L124">
        <v>0</v>
      </c>
      <c r="M124">
        <v>1</v>
      </c>
      <c r="N124">
        <v>3.1</v>
      </c>
      <c r="O124">
        <v>8.1</v>
      </c>
      <c r="P124">
        <v>0.03</v>
      </c>
      <c r="Q124">
        <v>0.08</v>
      </c>
      <c r="R124" t="s">
        <v>37</v>
      </c>
      <c r="S124" t="s">
        <v>1277</v>
      </c>
      <c r="T124" s="1">
        <v>43397.621562499997</v>
      </c>
      <c r="U124">
        <v>1</v>
      </c>
      <c r="V124" t="s">
        <v>44</v>
      </c>
      <c r="W124">
        <v>3</v>
      </c>
      <c r="X124" t="s">
        <v>109</v>
      </c>
      <c r="Y124">
        <v>27</v>
      </c>
      <c r="Z124">
        <v>0</v>
      </c>
      <c r="AA124" t="s">
        <v>369</v>
      </c>
      <c r="AB124">
        <v>0</v>
      </c>
      <c r="AC124" t="s">
        <v>43</v>
      </c>
      <c r="AD124">
        <v>0.05</v>
      </c>
      <c r="AE124">
        <v>0.09</v>
      </c>
      <c r="AF124">
        <v>0</v>
      </c>
      <c r="AG124">
        <v>0</v>
      </c>
      <c r="AH124" t="s">
        <v>420</v>
      </c>
    </row>
    <row r="125" spans="1:35" x14ac:dyDescent="0.25">
      <c r="A125">
        <v>166</v>
      </c>
      <c r="B125" t="s">
        <v>421</v>
      </c>
      <c r="C125" t="s">
        <v>422</v>
      </c>
      <c r="D125">
        <v>26</v>
      </c>
      <c r="E125">
        <v>1437</v>
      </c>
      <c r="F125">
        <v>29</v>
      </c>
      <c r="G125">
        <v>1000</v>
      </c>
      <c r="H125">
        <v>0</v>
      </c>
      <c r="I125">
        <v>224</v>
      </c>
      <c r="J125">
        <v>1</v>
      </c>
      <c r="K125">
        <v>1541</v>
      </c>
      <c r="L125">
        <v>1251</v>
      </c>
      <c r="M125">
        <v>1</v>
      </c>
      <c r="N125">
        <v>293.3</v>
      </c>
      <c r="O125">
        <v>42.3</v>
      </c>
      <c r="P125">
        <v>2.93</v>
      </c>
      <c r="Q125">
        <v>0.42</v>
      </c>
      <c r="R125" t="s">
        <v>59</v>
      </c>
      <c r="S125" t="s">
        <v>1277</v>
      </c>
      <c r="T125" s="1">
        <v>43397.621562499997</v>
      </c>
      <c r="U125">
        <v>2</v>
      </c>
      <c r="V125" t="s">
        <v>47</v>
      </c>
      <c r="W125">
        <v>6</v>
      </c>
      <c r="X125" t="s">
        <v>350</v>
      </c>
      <c r="Y125">
        <v>2</v>
      </c>
      <c r="Z125">
        <v>149</v>
      </c>
      <c r="AA125" t="s">
        <v>351</v>
      </c>
      <c r="AB125">
        <v>1</v>
      </c>
      <c r="AC125" t="s">
        <v>60</v>
      </c>
      <c r="AD125">
        <v>10</v>
      </c>
      <c r="AE125">
        <v>14.37</v>
      </c>
      <c r="AF125">
        <v>15.41</v>
      </c>
      <c r="AG125">
        <v>12.51</v>
      </c>
      <c r="AH125" t="s">
        <v>423</v>
      </c>
    </row>
    <row r="126" spans="1:35" x14ac:dyDescent="0.25">
      <c r="A126">
        <v>167</v>
      </c>
      <c r="B126" t="s">
        <v>424</v>
      </c>
      <c r="C126" t="s">
        <v>425</v>
      </c>
      <c r="D126">
        <v>77</v>
      </c>
      <c r="E126">
        <v>291</v>
      </c>
      <c r="F126">
        <v>30</v>
      </c>
      <c r="G126">
        <v>215</v>
      </c>
      <c r="H126">
        <v>0</v>
      </c>
      <c r="I126">
        <v>290</v>
      </c>
      <c r="J126">
        <v>0</v>
      </c>
      <c r="K126">
        <v>0</v>
      </c>
      <c r="L126">
        <v>0</v>
      </c>
      <c r="M126">
        <v>1</v>
      </c>
      <c r="N126">
        <v>46.9</v>
      </c>
      <c r="O126">
        <v>261.89999999999998</v>
      </c>
      <c r="P126">
        <v>0.47</v>
      </c>
      <c r="Q126">
        <v>2.62</v>
      </c>
      <c r="R126" t="s">
        <v>37</v>
      </c>
      <c r="S126" t="s">
        <v>1277</v>
      </c>
      <c r="T126" s="1">
        <v>43397.621562499997</v>
      </c>
      <c r="U126">
        <v>1</v>
      </c>
      <c r="V126" t="s">
        <v>44</v>
      </c>
      <c r="W126">
        <v>6</v>
      </c>
      <c r="X126" t="s">
        <v>350</v>
      </c>
      <c r="Y126">
        <v>40</v>
      </c>
      <c r="Z126">
        <v>0</v>
      </c>
      <c r="AA126" t="s">
        <v>426</v>
      </c>
      <c r="AB126">
        <v>0</v>
      </c>
      <c r="AC126" t="s">
        <v>43</v>
      </c>
      <c r="AD126">
        <v>2.15</v>
      </c>
      <c r="AE126">
        <v>2.91</v>
      </c>
      <c r="AF126">
        <v>0</v>
      </c>
      <c r="AG126">
        <v>0</v>
      </c>
      <c r="AH126" t="s">
        <v>427</v>
      </c>
    </row>
    <row r="127" spans="1:35" x14ac:dyDescent="0.25">
      <c r="A127">
        <v>168</v>
      </c>
      <c r="B127" t="s">
        <v>428</v>
      </c>
      <c r="C127" t="s">
        <v>43</v>
      </c>
      <c r="D127">
        <v>424</v>
      </c>
      <c r="E127">
        <v>3867</v>
      </c>
      <c r="F127">
        <v>111</v>
      </c>
      <c r="G127">
        <v>3809</v>
      </c>
      <c r="H127">
        <v>0</v>
      </c>
      <c r="I127">
        <v>38</v>
      </c>
      <c r="J127">
        <v>0</v>
      </c>
      <c r="K127">
        <v>0</v>
      </c>
      <c r="L127">
        <v>0</v>
      </c>
      <c r="M127">
        <v>100</v>
      </c>
      <c r="N127">
        <v>-328.7</v>
      </c>
      <c r="O127">
        <v>3480.3</v>
      </c>
      <c r="P127">
        <v>-3.29</v>
      </c>
      <c r="Q127">
        <v>34.799999999999997</v>
      </c>
      <c r="R127" t="s">
        <v>37</v>
      </c>
      <c r="S127" t="s">
        <v>1277</v>
      </c>
      <c r="T127" s="1">
        <v>43397.621562499997</v>
      </c>
      <c r="U127">
        <v>1</v>
      </c>
      <c r="V127" t="s">
        <v>44</v>
      </c>
      <c r="W127">
        <v>8</v>
      </c>
      <c r="X127" t="s">
        <v>118</v>
      </c>
      <c r="Y127">
        <v>25</v>
      </c>
      <c r="Z127">
        <v>0</v>
      </c>
      <c r="AA127" t="s">
        <v>119</v>
      </c>
      <c r="AB127">
        <v>0</v>
      </c>
      <c r="AC127" t="s">
        <v>43</v>
      </c>
      <c r="AD127">
        <v>38.090000000000003</v>
      </c>
      <c r="AE127">
        <v>38.67</v>
      </c>
      <c r="AF127">
        <v>0</v>
      </c>
      <c r="AG127">
        <v>0</v>
      </c>
      <c r="AH127" t="s">
        <v>429</v>
      </c>
      <c r="AI127" t="s">
        <v>43</v>
      </c>
    </row>
    <row r="128" spans="1:35" x14ac:dyDescent="0.25">
      <c r="A128">
        <v>170</v>
      </c>
      <c r="B128" t="s">
        <v>430</v>
      </c>
      <c r="C128" t="s">
        <v>344</v>
      </c>
      <c r="D128">
        <v>12</v>
      </c>
      <c r="E128">
        <v>8285</v>
      </c>
      <c r="F128">
        <v>9</v>
      </c>
      <c r="G128">
        <v>6854</v>
      </c>
      <c r="H128">
        <v>0</v>
      </c>
      <c r="I128">
        <v>200</v>
      </c>
      <c r="J128">
        <v>0</v>
      </c>
      <c r="K128">
        <v>0</v>
      </c>
      <c r="L128">
        <v>0</v>
      </c>
      <c r="M128">
        <v>1</v>
      </c>
      <c r="N128">
        <v>602.5</v>
      </c>
      <c r="O128">
        <v>7456.5</v>
      </c>
      <c r="P128">
        <v>6.03</v>
      </c>
      <c r="Q128">
        <v>74.569999999999993</v>
      </c>
      <c r="R128" t="s">
        <v>37</v>
      </c>
      <c r="S128" t="s">
        <v>1277</v>
      </c>
      <c r="T128" s="1">
        <v>43397.621562499997</v>
      </c>
      <c r="U128">
        <v>5</v>
      </c>
      <c r="V128" t="s">
        <v>140</v>
      </c>
      <c r="W128">
        <v>7</v>
      </c>
      <c r="X128" t="s">
        <v>49</v>
      </c>
      <c r="Y128">
        <v>10</v>
      </c>
      <c r="Z128">
        <v>0</v>
      </c>
      <c r="AA128" t="s">
        <v>50</v>
      </c>
      <c r="AB128">
        <v>0</v>
      </c>
      <c r="AC128" t="s">
        <v>43</v>
      </c>
      <c r="AD128">
        <v>68.540000000000006</v>
      </c>
      <c r="AE128">
        <v>82.85</v>
      </c>
      <c r="AF128">
        <v>0</v>
      </c>
      <c r="AG128">
        <v>0</v>
      </c>
      <c r="AH128" t="s">
        <v>431</v>
      </c>
      <c r="AI128" t="s">
        <v>43</v>
      </c>
    </row>
    <row r="129" spans="1:35" x14ac:dyDescent="0.25">
      <c r="A129">
        <v>171</v>
      </c>
      <c r="B129" t="s">
        <v>432</v>
      </c>
      <c r="C129" t="s">
        <v>48</v>
      </c>
      <c r="D129">
        <v>12</v>
      </c>
      <c r="E129">
        <v>119980</v>
      </c>
      <c r="F129">
        <v>4</v>
      </c>
      <c r="G129">
        <v>76061</v>
      </c>
      <c r="H129">
        <v>0</v>
      </c>
      <c r="I129">
        <v>308</v>
      </c>
      <c r="J129">
        <v>0</v>
      </c>
      <c r="K129">
        <v>0</v>
      </c>
      <c r="L129">
        <v>0</v>
      </c>
      <c r="M129">
        <v>1</v>
      </c>
      <c r="N129">
        <v>31921</v>
      </c>
      <c r="O129">
        <v>107982</v>
      </c>
      <c r="P129">
        <v>319.20999999999998</v>
      </c>
      <c r="Q129">
        <v>1079.82</v>
      </c>
      <c r="R129" t="s">
        <v>37</v>
      </c>
      <c r="S129" t="s">
        <v>1277</v>
      </c>
      <c r="T129" s="1">
        <v>43397.621562499997</v>
      </c>
      <c r="U129">
        <v>3</v>
      </c>
      <c r="V129" t="s">
        <v>38</v>
      </c>
      <c r="W129">
        <v>7</v>
      </c>
      <c r="X129" t="s">
        <v>49</v>
      </c>
      <c r="Y129">
        <v>10</v>
      </c>
      <c r="Z129">
        <v>0</v>
      </c>
      <c r="AA129" t="s">
        <v>50</v>
      </c>
      <c r="AB129">
        <v>0</v>
      </c>
      <c r="AC129" t="s">
        <v>43</v>
      </c>
      <c r="AD129">
        <v>760.61</v>
      </c>
      <c r="AE129">
        <v>1199.8</v>
      </c>
      <c r="AF129">
        <v>0</v>
      </c>
      <c r="AG129">
        <v>0</v>
      </c>
      <c r="AH129" t="s">
        <v>433</v>
      </c>
      <c r="AI129" t="s">
        <v>43</v>
      </c>
    </row>
    <row r="130" spans="1:35" x14ac:dyDescent="0.25">
      <c r="A130">
        <v>172</v>
      </c>
      <c r="B130" t="s">
        <v>434</v>
      </c>
      <c r="C130" t="s">
        <v>435</v>
      </c>
      <c r="D130">
        <v>757</v>
      </c>
      <c r="E130">
        <v>10</v>
      </c>
      <c r="F130">
        <v>423</v>
      </c>
      <c r="G130">
        <v>8</v>
      </c>
      <c r="H130">
        <v>0</v>
      </c>
      <c r="I130">
        <v>288</v>
      </c>
      <c r="J130">
        <v>0</v>
      </c>
      <c r="K130">
        <v>0</v>
      </c>
      <c r="L130">
        <v>0</v>
      </c>
      <c r="M130">
        <v>1</v>
      </c>
      <c r="N130">
        <v>1</v>
      </c>
      <c r="O130">
        <v>9</v>
      </c>
      <c r="P130">
        <v>0.01</v>
      </c>
      <c r="Q130">
        <v>0.09</v>
      </c>
      <c r="R130" t="s">
        <v>37</v>
      </c>
      <c r="S130" t="s">
        <v>1277</v>
      </c>
      <c r="T130" s="1">
        <v>43397.621562499997</v>
      </c>
      <c r="U130">
        <v>1</v>
      </c>
      <c r="V130" t="s">
        <v>44</v>
      </c>
      <c r="W130">
        <v>3</v>
      </c>
      <c r="X130" t="s">
        <v>109</v>
      </c>
      <c r="Y130">
        <v>24</v>
      </c>
      <c r="Z130">
        <v>0</v>
      </c>
      <c r="AA130" t="s">
        <v>434</v>
      </c>
      <c r="AB130">
        <v>0</v>
      </c>
      <c r="AC130" t="s">
        <v>43</v>
      </c>
      <c r="AD130">
        <v>0.08</v>
      </c>
      <c r="AE130">
        <v>0.1</v>
      </c>
      <c r="AF130">
        <v>0</v>
      </c>
      <c r="AG130">
        <v>0</v>
      </c>
      <c r="AH130" t="s">
        <v>436</v>
      </c>
    </row>
    <row r="131" spans="1:35" x14ac:dyDescent="0.25">
      <c r="A131">
        <v>173</v>
      </c>
      <c r="B131" t="s">
        <v>437</v>
      </c>
      <c r="C131" t="s">
        <v>43</v>
      </c>
      <c r="D131">
        <v>826</v>
      </c>
      <c r="E131">
        <v>23</v>
      </c>
      <c r="F131">
        <v>171</v>
      </c>
      <c r="G131">
        <v>17</v>
      </c>
      <c r="H131">
        <v>0</v>
      </c>
      <c r="I131">
        <v>268</v>
      </c>
      <c r="J131">
        <v>0</v>
      </c>
      <c r="K131">
        <v>0</v>
      </c>
      <c r="L131">
        <v>0</v>
      </c>
      <c r="M131">
        <v>1</v>
      </c>
      <c r="N131">
        <v>3.7</v>
      </c>
      <c r="O131">
        <v>20.7</v>
      </c>
      <c r="P131">
        <v>0.04</v>
      </c>
      <c r="Q131">
        <v>0.21</v>
      </c>
      <c r="R131" t="s">
        <v>37</v>
      </c>
      <c r="S131" t="s">
        <v>1277</v>
      </c>
      <c r="T131" s="1">
        <v>43397.621562499997</v>
      </c>
      <c r="U131">
        <v>1</v>
      </c>
      <c r="V131" t="s">
        <v>44</v>
      </c>
      <c r="W131">
        <v>3</v>
      </c>
      <c r="X131" t="s">
        <v>109</v>
      </c>
      <c r="Y131">
        <v>23</v>
      </c>
      <c r="Z131">
        <v>0</v>
      </c>
      <c r="AA131" t="s">
        <v>327</v>
      </c>
      <c r="AB131">
        <v>0</v>
      </c>
      <c r="AC131" t="s">
        <v>43</v>
      </c>
      <c r="AD131">
        <v>0.17</v>
      </c>
      <c r="AE131">
        <v>0.23</v>
      </c>
      <c r="AF131">
        <v>0</v>
      </c>
      <c r="AG131">
        <v>0</v>
      </c>
      <c r="AH131" t="s">
        <v>438</v>
      </c>
      <c r="AI131" t="s">
        <v>43</v>
      </c>
    </row>
    <row r="132" spans="1:35" x14ac:dyDescent="0.25">
      <c r="A132">
        <v>174</v>
      </c>
      <c r="B132" t="s">
        <v>439</v>
      </c>
      <c r="C132" t="s">
        <v>425</v>
      </c>
      <c r="D132">
        <v>47</v>
      </c>
      <c r="E132">
        <v>193</v>
      </c>
      <c r="F132">
        <v>35</v>
      </c>
      <c r="G132">
        <v>106</v>
      </c>
      <c r="H132">
        <v>0</v>
      </c>
      <c r="I132">
        <v>218</v>
      </c>
      <c r="J132">
        <v>0</v>
      </c>
      <c r="K132">
        <v>0</v>
      </c>
      <c r="L132">
        <v>0</v>
      </c>
      <c r="M132">
        <v>1</v>
      </c>
      <c r="N132">
        <v>67.7</v>
      </c>
      <c r="O132">
        <v>173.7</v>
      </c>
      <c r="P132">
        <v>0.68</v>
      </c>
      <c r="Q132">
        <v>1.74</v>
      </c>
      <c r="R132" t="s">
        <v>37</v>
      </c>
      <c r="S132" t="s">
        <v>1277</v>
      </c>
      <c r="T132" s="1">
        <v>43397.621562499997</v>
      </c>
      <c r="U132">
        <v>1</v>
      </c>
      <c r="V132" t="s">
        <v>44</v>
      </c>
      <c r="W132">
        <v>6</v>
      </c>
      <c r="X132" t="s">
        <v>350</v>
      </c>
      <c r="Y132">
        <v>40</v>
      </c>
      <c r="Z132">
        <v>0</v>
      </c>
      <c r="AA132" t="s">
        <v>426</v>
      </c>
      <c r="AB132">
        <v>0</v>
      </c>
      <c r="AC132" t="s">
        <v>43</v>
      </c>
      <c r="AD132">
        <v>1.06</v>
      </c>
      <c r="AE132">
        <v>1.93</v>
      </c>
      <c r="AF132">
        <v>0</v>
      </c>
      <c r="AG132">
        <v>0</v>
      </c>
      <c r="AH132" t="s">
        <v>440</v>
      </c>
    </row>
    <row r="133" spans="1:35" x14ac:dyDescent="0.25">
      <c r="A133">
        <v>176</v>
      </c>
      <c r="B133" t="s">
        <v>441</v>
      </c>
      <c r="C133" t="s">
        <v>338</v>
      </c>
      <c r="D133">
        <v>555</v>
      </c>
      <c r="E133">
        <v>11</v>
      </c>
      <c r="F133">
        <v>196</v>
      </c>
      <c r="G133">
        <v>8</v>
      </c>
      <c r="H133">
        <v>0</v>
      </c>
      <c r="I133">
        <v>298</v>
      </c>
      <c r="J133">
        <v>0</v>
      </c>
      <c r="K133">
        <v>0</v>
      </c>
      <c r="L133">
        <v>0</v>
      </c>
      <c r="M133">
        <v>1</v>
      </c>
      <c r="N133">
        <v>1.9</v>
      </c>
      <c r="O133">
        <v>9.9</v>
      </c>
      <c r="P133">
        <v>0.02</v>
      </c>
      <c r="Q133">
        <v>0.1</v>
      </c>
      <c r="R133" t="s">
        <v>37</v>
      </c>
      <c r="S133" t="s">
        <v>1277</v>
      </c>
      <c r="T133" s="1">
        <v>43397.621562499997</v>
      </c>
      <c r="U133">
        <v>1</v>
      </c>
      <c r="V133" t="s">
        <v>44</v>
      </c>
      <c r="W133">
        <v>4</v>
      </c>
      <c r="X133" t="s">
        <v>114</v>
      </c>
      <c r="Y133">
        <v>35</v>
      </c>
      <c r="Z133">
        <v>0</v>
      </c>
      <c r="AA133" t="s">
        <v>165</v>
      </c>
      <c r="AB133">
        <v>0</v>
      </c>
      <c r="AC133" t="s">
        <v>43</v>
      </c>
      <c r="AD133">
        <v>0.08</v>
      </c>
      <c r="AE133">
        <v>0.11</v>
      </c>
      <c r="AF133">
        <v>0</v>
      </c>
      <c r="AG133">
        <v>0</v>
      </c>
      <c r="AH133" t="s">
        <v>442</v>
      </c>
    </row>
    <row r="134" spans="1:35" x14ac:dyDescent="0.25">
      <c r="A134">
        <v>177</v>
      </c>
      <c r="B134" t="s">
        <v>443</v>
      </c>
      <c r="C134" t="s">
        <v>287</v>
      </c>
      <c r="D134">
        <v>17</v>
      </c>
      <c r="E134">
        <v>4398</v>
      </c>
      <c r="F134">
        <v>7</v>
      </c>
      <c r="G134">
        <v>2802</v>
      </c>
      <c r="H134">
        <v>0</v>
      </c>
      <c r="I134">
        <v>367</v>
      </c>
      <c r="J134">
        <v>0</v>
      </c>
      <c r="K134">
        <v>0</v>
      </c>
      <c r="L134">
        <v>0</v>
      </c>
      <c r="M134">
        <v>1</v>
      </c>
      <c r="N134">
        <v>1156.2</v>
      </c>
      <c r="O134">
        <v>3958.2</v>
      </c>
      <c r="P134">
        <v>11.56</v>
      </c>
      <c r="Q134">
        <v>39.58</v>
      </c>
      <c r="R134" t="s">
        <v>37</v>
      </c>
      <c r="S134" t="s">
        <v>1277</v>
      </c>
      <c r="T134" s="1">
        <v>43397.621562499997</v>
      </c>
      <c r="U134">
        <v>1</v>
      </c>
      <c r="V134" t="s">
        <v>44</v>
      </c>
      <c r="W134">
        <v>7</v>
      </c>
      <c r="X134" t="s">
        <v>49</v>
      </c>
      <c r="Y134">
        <v>10</v>
      </c>
      <c r="Z134">
        <v>0</v>
      </c>
      <c r="AA134" t="s">
        <v>50</v>
      </c>
      <c r="AB134">
        <v>0</v>
      </c>
      <c r="AC134" t="s">
        <v>43</v>
      </c>
      <c r="AD134">
        <v>28.02</v>
      </c>
      <c r="AE134">
        <v>43.98</v>
      </c>
      <c r="AF134">
        <v>0</v>
      </c>
      <c r="AG134">
        <v>0</v>
      </c>
      <c r="AH134" t="s">
        <v>444</v>
      </c>
      <c r="AI134" t="s">
        <v>43</v>
      </c>
    </row>
    <row r="135" spans="1:35" x14ac:dyDescent="0.25">
      <c r="A135">
        <v>178</v>
      </c>
      <c r="B135" t="s">
        <v>445</v>
      </c>
      <c r="C135" t="s">
        <v>287</v>
      </c>
      <c r="D135">
        <v>8</v>
      </c>
      <c r="E135">
        <v>5991</v>
      </c>
      <c r="F135">
        <v>9</v>
      </c>
      <c r="G135">
        <v>4000</v>
      </c>
      <c r="H135">
        <v>0</v>
      </c>
      <c r="I135">
        <v>302</v>
      </c>
      <c r="J135">
        <v>0</v>
      </c>
      <c r="K135">
        <v>0</v>
      </c>
      <c r="L135">
        <v>0</v>
      </c>
      <c r="M135">
        <v>1</v>
      </c>
      <c r="N135">
        <v>1391.9</v>
      </c>
      <c r="O135">
        <v>5391.9</v>
      </c>
      <c r="P135">
        <v>13.92</v>
      </c>
      <c r="Q135">
        <v>53.92</v>
      </c>
      <c r="R135" t="s">
        <v>37</v>
      </c>
      <c r="S135" t="s">
        <v>1277</v>
      </c>
      <c r="T135" s="1">
        <v>43397.621562499997</v>
      </c>
      <c r="U135">
        <v>1</v>
      </c>
      <c r="V135" t="s">
        <v>44</v>
      </c>
      <c r="W135">
        <v>7</v>
      </c>
      <c r="X135" t="s">
        <v>49</v>
      </c>
      <c r="Y135">
        <v>10</v>
      </c>
      <c r="Z135">
        <v>0</v>
      </c>
      <c r="AA135" t="s">
        <v>50</v>
      </c>
      <c r="AB135">
        <v>0</v>
      </c>
      <c r="AC135" t="s">
        <v>43</v>
      </c>
      <c r="AD135">
        <v>40</v>
      </c>
      <c r="AE135">
        <v>59.91</v>
      </c>
      <c r="AF135">
        <v>0</v>
      </c>
      <c r="AG135">
        <v>0</v>
      </c>
      <c r="AH135" t="s">
        <v>446</v>
      </c>
      <c r="AI135" t="s">
        <v>43</v>
      </c>
    </row>
    <row r="136" spans="1:35" x14ac:dyDescent="0.25">
      <c r="A136">
        <v>180</v>
      </c>
      <c r="B136" t="s">
        <v>447</v>
      </c>
      <c r="C136" t="s">
        <v>425</v>
      </c>
      <c r="D136">
        <v>35</v>
      </c>
      <c r="E136">
        <v>193</v>
      </c>
      <c r="F136">
        <v>20</v>
      </c>
      <c r="G136">
        <v>111</v>
      </c>
      <c r="H136">
        <v>0</v>
      </c>
      <c r="I136">
        <v>228</v>
      </c>
      <c r="J136">
        <v>0</v>
      </c>
      <c r="K136">
        <v>0</v>
      </c>
      <c r="L136">
        <v>0</v>
      </c>
      <c r="M136">
        <v>1</v>
      </c>
      <c r="N136">
        <v>62.7</v>
      </c>
      <c r="O136">
        <v>173.7</v>
      </c>
      <c r="P136">
        <v>0.63</v>
      </c>
      <c r="Q136">
        <v>1.74</v>
      </c>
      <c r="R136" t="s">
        <v>37</v>
      </c>
      <c r="S136" t="s">
        <v>1277</v>
      </c>
      <c r="T136" s="1">
        <v>43397.621562499997</v>
      </c>
      <c r="U136">
        <v>1</v>
      </c>
      <c r="V136" t="s">
        <v>44</v>
      </c>
      <c r="W136">
        <v>6</v>
      </c>
      <c r="X136" t="s">
        <v>350</v>
      </c>
      <c r="Y136">
        <v>40</v>
      </c>
      <c r="Z136">
        <v>0</v>
      </c>
      <c r="AA136" t="s">
        <v>426</v>
      </c>
      <c r="AB136">
        <v>0</v>
      </c>
      <c r="AC136" t="s">
        <v>43</v>
      </c>
      <c r="AD136">
        <v>1.1100000000000001</v>
      </c>
      <c r="AE136">
        <v>1.93</v>
      </c>
      <c r="AF136">
        <v>0</v>
      </c>
      <c r="AG136">
        <v>0</v>
      </c>
      <c r="AH136" t="s">
        <v>448</v>
      </c>
    </row>
    <row r="137" spans="1:35" x14ac:dyDescent="0.25">
      <c r="A137">
        <v>181</v>
      </c>
      <c r="B137" t="s">
        <v>449</v>
      </c>
      <c r="C137" t="s">
        <v>425</v>
      </c>
      <c r="D137">
        <v>110</v>
      </c>
      <c r="E137">
        <v>170</v>
      </c>
      <c r="F137">
        <v>32</v>
      </c>
      <c r="G137">
        <v>117</v>
      </c>
      <c r="H137">
        <v>0</v>
      </c>
      <c r="I137">
        <v>269</v>
      </c>
      <c r="J137">
        <v>0</v>
      </c>
      <c r="K137">
        <v>0</v>
      </c>
      <c r="L137">
        <v>0</v>
      </c>
      <c r="M137">
        <v>1</v>
      </c>
      <c r="N137">
        <v>36</v>
      </c>
      <c r="O137">
        <v>153</v>
      </c>
      <c r="P137">
        <v>0.36</v>
      </c>
      <c r="Q137">
        <v>1.53</v>
      </c>
      <c r="R137" t="s">
        <v>37</v>
      </c>
      <c r="S137" t="s">
        <v>1277</v>
      </c>
      <c r="T137" s="1">
        <v>43397.621562499997</v>
      </c>
      <c r="U137">
        <v>1</v>
      </c>
      <c r="V137" t="s">
        <v>44</v>
      </c>
      <c r="W137">
        <v>6</v>
      </c>
      <c r="X137" t="s">
        <v>350</v>
      </c>
      <c r="Y137">
        <v>40</v>
      </c>
      <c r="Z137">
        <v>0</v>
      </c>
      <c r="AA137" t="s">
        <v>426</v>
      </c>
      <c r="AB137">
        <v>0</v>
      </c>
      <c r="AC137" t="s">
        <v>43</v>
      </c>
      <c r="AD137">
        <v>1.17</v>
      </c>
      <c r="AE137">
        <v>1.7</v>
      </c>
      <c r="AF137">
        <v>0</v>
      </c>
      <c r="AG137">
        <v>0</v>
      </c>
      <c r="AH137" t="s">
        <v>450</v>
      </c>
    </row>
    <row r="138" spans="1:35" x14ac:dyDescent="0.25">
      <c r="A138">
        <v>182</v>
      </c>
      <c r="B138" t="s">
        <v>451</v>
      </c>
      <c r="C138" t="s">
        <v>425</v>
      </c>
      <c r="D138">
        <v>51</v>
      </c>
      <c r="E138">
        <v>188</v>
      </c>
      <c r="F138">
        <v>17</v>
      </c>
      <c r="G138">
        <v>112</v>
      </c>
      <c r="H138">
        <v>0</v>
      </c>
      <c r="I138">
        <v>234</v>
      </c>
      <c r="J138">
        <v>0</v>
      </c>
      <c r="K138">
        <v>0</v>
      </c>
      <c r="L138">
        <v>0</v>
      </c>
      <c r="M138">
        <v>1</v>
      </c>
      <c r="N138">
        <v>57.2</v>
      </c>
      <c r="O138">
        <v>169.2</v>
      </c>
      <c r="P138">
        <v>0.56999999999999995</v>
      </c>
      <c r="Q138">
        <v>1.69</v>
      </c>
      <c r="R138" t="s">
        <v>37</v>
      </c>
      <c r="S138" t="s">
        <v>1277</v>
      </c>
      <c r="T138" s="1">
        <v>43397.621562499997</v>
      </c>
      <c r="U138">
        <v>1</v>
      </c>
      <c r="V138" t="s">
        <v>44</v>
      </c>
      <c r="W138">
        <v>6</v>
      </c>
      <c r="X138" t="s">
        <v>350</v>
      </c>
      <c r="Y138">
        <v>40</v>
      </c>
      <c r="Z138">
        <v>0</v>
      </c>
      <c r="AA138" t="s">
        <v>426</v>
      </c>
      <c r="AB138">
        <v>0</v>
      </c>
      <c r="AC138" t="s">
        <v>43</v>
      </c>
      <c r="AD138">
        <v>1.1200000000000001</v>
      </c>
      <c r="AE138">
        <v>1.88</v>
      </c>
      <c r="AF138">
        <v>0</v>
      </c>
      <c r="AG138">
        <v>0</v>
      </c>
      <c r="AH138" t="s">
        <v>452</v>
      </c>
    </row>
    <row r="139" spans="1:35" x14ac:dyDescent="0.25">
      <c r="A139">
        <v>183</v>
      </c>
      <c r="B139" t="s">
        <v>453</v>
      </c>
      <c r="C139" t="s">
        <v>344</v>
      </c>
      <c r="D139">
        <v>10</v>
      </c>
      <c r="E139">
        <v>121994</v>
      </c>
      <c r="F139">
        <v>3</v>
      </c>
      <c r="G139">
        <v>71500</v>
      </c>
      <c r="H139">
        <v>0</v>
      </c>
      <c r="I139">
        <v>425</v>
      </c>
      <c r="J139">
        <v>0</v>
      </c>
      <c r="K139">
        <v>0</v>
      </c>
      <c r="L139">
        <v>0</v>
      </c>
      <c r="M139">
        <v>1</v>
      </c>
      <c r="N139">
        <v>38294.6</v>
      </c>
      <c r="O139">
        <v>109794.6</v>
      </c>
      <c r="P139">
        <v>382.95</v>
      </c>
      <c r="Q139">
        <v>1097.95</v>
      </c>
      <c r="R139" t="s">
        <v>37</v>
      </c>
      <c r="S139" t="s">
        <v>1277</v>
      </c>
      <c r="T139" s="1">
        <v>43397.621562499997</v>
      </c>
      <c r="U139">
        <v>3</v>
      </c>
      <c r="V139" t="s">
        <v>38</v>
      </c>
      <c r="W139">
        <v>7</v>
      </c>
      <c r="X139" t="s">
        <v>49</v>
      </c>
      <c r="Y139">
        <v>10</v>
      </c>
      <c r="Z139">
        <v>0</v>
      </c>
      <c r="AA139" t="s">
        <v>50</v>
      </c>
      <c r="AB139">
        <v>0</v>
      </c>
      <c r="AC139" t="s">
        <v>43</v>
      </c>
      <c r="AD139">
        <v>715</v>
      </c>
      <c r="AE139">
        <v>1219.94</v>
      </c>
      <c r="AF139">
        <v>0</v>
      </c>
      <c r="AG139">
        <v>0</v>
      </c>
      <c r="AH139" t="s">
        <v>454</v>
      </c>
      <c r="AI139" t="s">
        <v>43</v>
      </c>
    </row>
    <row r="140" spans="1:35" x14ac:dyDescent="0.25">
      <c r="A140">
        <v>184</v>
      </c>
      <c r="B140" t="s">
        <v>455</v>
      </c>
      <c r="C140" t="s">
        <v>287</v>
      </c>
      <c r="D140">
        <v>11</v>
      </c>
      <c r="E140">
        <v>99999</v>
      </c>
      <c r="F140">
        <v>7</v>
      </c>
      <c r="G140">
        <v>24000</v>
      </c>
      <c r="H140">
        <v>0</v>
      </c>
      <c r="I140">
        <v>390</v>
      </c>
      <c r="J140">
        <v>0</v>
      </c>
      <c r="K140">
        <v>0</v>
      </c>
      <c r="L140">
        <v>0</v>
      </c>
      <c r="M140">
        <v>1</v>
      </c>
      <c r="N140">
        <v>65999.100000000006</v>
      </c>
      <c r="O140">
        <v>89999.1</v>
      </c>
      <c r="P140">
        <v>659.99</v>
      </c>
      <c r="Q140">
        <v>899.99</v>
      </c>
      <c r="R140" t="s">
        <v>37</v>
      </c>
      <c r="S140" t="s">
        <v>1277</v>
      </c>
      <c r="T140" s="1">
        <v>43397.621562499997</v>
      </c>
      <c r="U140">
        <v>2</v>
      </c>
      <c r="V140" t="s">
        <v>47</v>
      </c>
      <c r="W140">
        <v>7</v>
      </c>
      <c r="X140" t="s">
        <v>49</v>
      </c>
      <c r="Y140">
        <v>10</v>
      </c>
      <c r="Z140">
        <v>0</v>
      </c>
      <c r="AA140" t="s">
        <v>50</v>
      </c>
      <c r="AB140">
        <v>0</v>
      </c>
      <c r="AC140" t="s">
        <v>43</v>
      </c>
      <c r="AD140">
        <v>240</v>
      </c>
      <c r="AE140">
        <v>999.99</v>
      </c>
      <c r="AF140">
        <v>0</v>
      </c>
      <c r="AG140">
        <v>0</v>
      </c>
      <c r="AH140" t="s">
        <v>456</v>
      </c>
      <c r="AI140" t="s">
        <v>43</v>
      </c>
    </row>
    <row r="141" spans="1:35" x14ac:dyDescent="0.25">
      <c r="A141">
        <v>186</v>
      </c>
      <c r="B141" t="s">
        <v>457</v>
      </c>
      <c r="C141" t="s">
        <v>414</v>
      </c>
      <c r="D141">
        <v>1273</v>
      </c>
      <c r="E141">
        <v>5</v>
      </c>
      <c r="F141">
        <v>409</v>
      </c>
      <c r="G141">
        <v>4</v>
      </c>
      <c r="H141">
        <v>0</v>
      </c>
      <c r="I141">
        <v>296</v>
      </c>
      <c r="J141">
        <v>0</v>
      </c>
      <c r="K141">
        <v>0</v>
      </c>
      <c r="L141">
        <v>0</v>
      </c>
      <c r="M141">
        <v>1</v>
      </c>
      <c r="N141">
        <v>0.5</v>
      </c>
      <c r="O141">
        <v>4.5</v>
      </c>
      <c r="P141">
        <v>0.01</v>
      </c>
      <c r="Q141">
        <v>0.05</v>
      </c>
      <c r="R141" t="s">
        <v>37</v>
      </c>
      <c r="S141" t="s">
        <v>1277</v>
      </c>
      <c r="T141" s="1">
        <v>43397.621562499997</v>
      </c>
      <c r="U141">
        <v>1</v>
      </c>
      <c r="V141" t="s">
        <v>44</v>
      </c>
      <c r="W141">
        <v>4</v>
      </c>
      <c r="X141" t="s">
        <v>114</v>
      </c>
      <c r="Y141">
        <v>35</v>
      </c>
      <c r="Z141">
        <v>0</v>
      </c>
      <c r="AA141" t="s">
        <v>165</v>
      </c>
      <c r="AB141">
        <v>0</v>
      </c>
      <c r="AC141" t="s">
        <v>43</v>
      </c>
      <c r="AD141">
        <v>0.04</v>
      </c>
      <c r="AE141">
        <v>0.05</v>
      </c>
      <c r="AF141">
        <v>0</v>
      </c>
      <c r="AG141">
        <v>0</v>
      </c>
      <c r="AH141" t="s">
        <v>458</v>
      </c>
    </row>
    <row r="142" spans="1:35" x14ac:dyDescent="0.25">
      <c r="A142">
        <v>187</v>
      </c>
      <c r="B142" t="s">
        <v>459</v>
      </c>
      <c r="C142" t="s">
        <v>287</v>
      </c>
      <c r="D142">
        <v>7</v>
      </c>
      <c r="E142">
        <v>34797</v>
      </c>
      <c r="F142">
        <v>8</v>
      </c>
      <c r="G142">
        <v>20300</v>
      </c>
      <c r="H142">
        <v>0</v>
      </c>
      <c r="I142">
        <v>421</v>
      </c>
      <c r="J142">
        <v>0</v>
      </c>
      <c r="K142">
        <v>0</v>
      </c>
      <c r="L142">
        <v>0</v>
      </c>
      <c r="M142">
        <v>1</v>
      </c>
      <c r="N142">
        <v>11017.3</v>
      </c>
      <c r="O142">
        <v>31317.3</v>
      </c>
      <c r="P142">
        <v>110.17</v>
      </c>
      <c r="Q142">
        <v>313.17</v>
      </c>
      <c r="R142" t="s">
        <v>37</v>
      </c>
      <c r="S142" t="s">
        <v>1277</v>
      </c>
      <c r="T142" s="1">
        <v>43397.621562499997</v>
      </c>
      <c r="U142">
        <v>2</v>
      </c>
      <c r="V142" t="s">
        <v>47</v>
      </c>
      <c r="W142">
        <v>7</v>
      </c>
      <c r="X142" t="s">
        <v>49</v>
      </c>
      <c r="Y142">
        <v>10</v>
      </c>
      <c r="Z142">
        <v>0</v>
      </c>
      <c r="AA142" t="s">
        <v>50</v>
      </c>
      <c r="AB142">
        <v>0</v>
      </c>
      <c r="AC142" t="s">
        <v>43</v>
      </c>
      <c r="AD142">
        <v>203</v>
      </c>
      <c r="AE142">
        <v>347.97</v>
      </c>
      <c r="AF142">
        <v>0</v>
      </c>
      <c r="AG142">
        <v>0</v>
      </c>
      <c r="AH142" t="s">
        <v>460</v>
      </c>
      <c r="AI142" t="s">
        <v>43</v>
      </c>
    </row>
    <row r="143" spans="1:35" x14ac:dyDescent="0.25">
      <c r="A143">
        <v>188</v>
      </c>
      <c r="B143" t="s">
        <v>461</v>
      </c>
      <c r="C143" t="s">
        <v>462</v>
      </c>
      <c r="D143">
        <v>103</v>
      </c>
      <c r="E143">
        <v>180</v>
      </c>
      <c r="F143">
        <v>33</v>
      </c>
      <c r="G143">
        <v>120</v>
      </c>
      <c r="H143">
        <v>0</v>
      </c>
      <c r="I143">
        <v>257</v>
      </c>
      <c r="J143">
        <v>0</v>
      </c>
      <c r="K143">
        <v>0</v>
      </c>
      <c r="L143">
        <v>0</v>
      </c>
      <c r="M143">
        <v>1</v>
      </c>
      <c r="N143">
        <v>42</v>
      </c>
      <c r="O143">
        <v>162</v>
      </c>
      <c r="P143">
        <v>0.42</v>
      </c>
      <c r="Q143">
        <v>1.62</v>
      </c>
      <c r="R143" t="s">
        <v>37</v>
      </c>
      <c r="S143" t="s">
        <v>1277</v>
      </c>
      <c r="T143" s="1">
        <v>43397.621562499997</v>
      </c>
      <c r="U143">
        <v>1</v>
      </c>
      <c r="V143" t="s">
        <v>44</v>
      </c>
      <c r="W143">
        <v>6</v>
      </c>
      <c r="X143" t="s">
        <v>350</v>
      </c>
      <c r="Y143">
        <v>2</v>
      </c>
      <c r="Z143">
        <v>0</v>
      </c>
      <c r="AA143" t="s">
        <v>351</v>
      </c>
      <c r="AB143">
        <v>0</v>
      </c>
      <c r="AC143" t="s">
        <v>43</v>
      </c>
      <c r="AD143">
        <v>1.2</v>
      </c>
      <c r="AE143">
        <v>1.8</v>
      </c>
      <c r="AF143">
        <v>0</v>
      </c>
      <c r="AG143">
        <v>0</v>
      </c>
      <c r="AH143" t="s">
        <v>463</v>
      </c>
    </row>
    <row r="144" spans="1:35" x14ac:dyDescent="0.25">
      <c r="A144">
        <v>191</v>
      </c>
      <c r="B144" t="s">
        <v>464</v>
      </c>
      <c r="C144" t="s">
        <v>287</v>
      </c>
      <c r="D144">
        <v>23</v>
      </c>
      <c r="E144">
        <v>19585</v>
      </c>
      <c r="F144">
        <v>4</v>
      </c>
      <c r="G144">
        <v>13827</v>
      </c>
      <c r="H144">
        <v>0</v>
      </c>
      <c r="I144">
        <v>233</v>
      </c>
      <c r="J144">
        <v>0</v>
      </c>
      <c r="K144">
        <v>0</v>
      </c>
      <c r="L144">
        <v>0</v>
      </c>
      <c r="M144">
        <v>1</v>
      </c>
      <c r="N144">
        <v>3799.5</v>
      </c>
      <c r="O144">
        <v>17626.5</v>
      </c>
      <c r="P144">
        <v>38</v>
      </c>
      <c r="Q144">
        <v>176.27</v>
      </c>
      <c r="R144" t="s">
        <v>37</v>
      </c>
      <c r="S144" t="s">
        <v>1277</v>
      </c>
      <c r="T144" s="1">
        <v>43397.621562499997</v>
      </c>
      <c r="U144">
        <v>2</v>
      </c>
      <c r="V144" t="s">
        <v>47</v>
      </c>
      <c r="W144">
        <v>7</v>
      </c>
      <c r="X144" t="s">
        <v>49</v>
      </c>
      <c r="Y144">
        <v>10</v>
      </c>
      <c r="Z144">
        <v>0</v>
      </c>
      <c r="AA144" t="s">
        <v>50</v>
      </c>
      <c r="AB144">
        <v>0</v>
      </c>
      <c r="AC144" t="s">
        <v>43</v>
      </c>
      <c r="AD144">
        <v>138.27000000000001</v>
      </c>
      <c r="AE144">
        <v>195.85</v>
      </c>
      <c r="AF144">
        <v>0</v>
      </c>
      <c r="AG144">
        <v>0</v>
      </c>
      <c r="AH144" t="s">
        <v>465</v>
      </c>
      <c r="AI144" t="s">
        <v>43</v>
      </c>
    </row>
    <row r="145" spans="1:35" x14ac:dyDescent="0.25">
      <c r="A145">
        <v>193</v>
      </c>
      <c r="B145" t="s">
        <v>466</v>
      </c>
      <c r="C145" t="s">
        <v>467</v>
      </c>
      <c r="D145">
        <v>69</v>
      </c>
      <c r="E145">
        <v>176</v>
      </c>
      <c r="F145">
        <v>73</v>
      </c>
      <c r="G145">
        <v>96</v>
      </c>
      <c r="H145">
        <v>0</v>
      </c>
      <c r="I145">
        <v>240</v>
      </c>
      <c r="J145">
        <v>0</v>
      </c>
      <c r="K145">
        <v>0</v>
      </c>
      <c r="L145">
        <v>0</v>
      </c>
      <c r="M145">
        <v>1</v>
      </c>
      <c r="N145">
        <v>62.4</v>
      </c>
      <c r="O145">
        <v>158.4</v>
      </c>
      <c r="P145">
        <v>0.62</v>
      </c>
      <c r="Q145">
        <v>1.58</v>
      </c>
      <c r="R145" t="s">
        <v>37</v>
      </c>
      <c r="S145" t="s">
        <v>1277</v>
      </c>
      <c r="T145" s="1">
        <v>43397.621562499997</v>
      </c>
      <c r="U145">
        <v>1</v>
      </c>
      <c r="V145" t="s">
        <v>44</v>
      </c>
      <c r="W145">
        <v>6</v>
      </c>
      <c r="X145" t="s">
        <v>350</v>
      </c>
      <c r="Y145">
        <v>2</v>
      </c>
      <c r="Z145">
        <v>0</v>
      </c>
      <c r="AA145" t="s">
        <v>351</v>
      </c>
      <c r="AB145">
        <v>0</v>
      </c>
      <c r="AC145" t="s">
        <v>43</v>
      </c>
      <c r="AD145">
        <v>0.96</v>
      </c>
      <c r="AE145">
        <v>1.76</v>
      </c>
      <c r="AF145">
        <v>0</v>
      </c>
      <c r="AG145">
        <v>0</v>
      </c>
      <c r="AH145" t="s">
        <v>468</v>
      </c>
    </row>
    <row r="146" spans="1:35" x14ac:dyDescent="0.25">
      <c r="A146">
        <v>196</v>
      </c>
      <c r="B146" t="s">
        <v>469</v>
      </c>
      <c r="C146" t="s">
        <v>287</v>
      </c>
      <c r="D146">
        <v>8</v>
      </c>
      <c r="E146">
        <v>69995</v>
      </c>
      <c r="F146">
        <v>17</v>
      </c>
      <c r="G146">
        <v>26501</v>
      </c>
      <c r="H146">
        <v>0</v>
      </c>
      <c r="I146">
        <v>331</v>
      </c>
      <c r="J146">
        <v>0</v>
      </c>
      <c r="K146">
        <v>0</v>
      </c>
      <c r="L146">
        <v>0</v>
      </c>
      <c r="M146">
        <v>1</v>
      </c>
      <c r="N146">
        <v>36494.5</v>
      </c>
      <c r="O146">
        <v>62995.5</v>
      </c>
      <c r="P146">
        <v>364.95</v>
      </c>
      <c r="Q146">
        <v>629.96</v>
      </c>
      <c r="R146" t="s">
        <v>37</v>
      </c>
      <c r="S146" t="s">
        <v>1277</v>
      </c>
      <c r="T146" s="1">
        <v>43397.621562499997</v>
      </c>
      <c r="U146">
        <v>2</v>
      </c>
      <c r="V146" t="s">
        <v>47</v>
      </c>
      <c r="W146">
        <v>7</v>
      </c>
      <c r="X146" t="s">
        <v>49</v>
      </c>
      <c r="Y146">
        <v>10</v>
      </c>
      <c r="Z146">
        <v>0</v>
      </c>
      <c r="AA146" t="s">
        <v>50</v>
      </c>
      <c r="AB146">
        <v>0</v>
      </c>
      <c r="AC146" t="s">
        <v>43</v>
      </c>
      <c r="AD146">
        <v>265.01</v>
      </c>
      <c r="AE146">
        <v>699.95</v>
      </c>
      <c r="AF146">
        <v>0</v>
      </c>
      <c r="AG146">
        <v>0</v>
      </c>
      <c r="AH146" t="s">
        <v>470</v>
      </c>
      <c r="AI146" t="s">
        <v>43</v>
      </c>
    </row>
    <row r="147" spans="1:35" x14ac:dyDescent="0.25">
      <c r="A147">
        <v>201</v>
      </c>
      <c r="B147" t="s">
        <v>471</v>
      </c>
      <c r="C147" t="s">
        <v>43</v>
      </c>
      <c r="D147">
        <v>633</v>
      </c>
      <c r="E147">
        <v>379</v>
      </c>
      <c r="F147">
        <v>177</v>
      </c>
      <c r="G147">
        <v>378</v>
      </c>
      <c r="H147">
        <v>0</v>
      </c>
      <c r="I147">
        <v>52</v>
      </c>
      <c r="J147">
        <v>0</v>
      </c>
      <c r="K147">
        <v>0</v>
      </c>
      <c r="L147">
        <v>0</v>
      </c>
      <c r="M147">
        <v>10</v>
      </c>
      <c r="N147">
        <v>-36.9</v>
      </c>
      <c r="O147">
        <v>341.1</v>
      </c>
      <c r="P147" s="2">
        <v>-0.37</v>
      </c>
      <c r="Q147">
        <v>3.41</v>
      </c>
      <c r="R147" t="s">
        <v>37</v>
      </c>
      <c r="S147" t="s">
        <v>1277</v>
      </c>
      <c r="T147" s="1">
        <v>43397.621562499997</v>
      </c>
      <c r="U147">
        <v>1</v>
      </c>
      <c r="V147" t="s">
        <v>44</v>
      </c>
      <c r="W147">
        <v>8</v>
      </c>
      <c r="X147" t="s">
        <v>118</v>
      </c>
      <c r="Y147">
        <v>25</v>
      </c>
      <c r="Z147">
        <v>0</v>
      </c>
      <c r="AA147" t="s">
        <v>119</v>
      </c>
      <c r="AB147">
        <v>0</v>
      </c>
      <c r="AC147" t="s">
        <v>43</v>
      </c>
      <c r="AD147">
        <v>3.78</v>
      </c>
      <c r="AE147">
        <v>3.79</v>
      </c>
      <c r="AF147">
        <v>0</v>
      </c>
      <c r="AG147">
        <v>0</v>
      </c>
      <c r="AH147" t="s">
        <v>472</v>
      </c>
      <c r="AI147" t="s">
        <v>43</v>
      </c>
    </row>
    <row r="148" spans="1:35" x14ac:dyDescent="0.25">
      <c r="A148">
        <v>202</v>
      </c>
      <c r="B148" t="s">
        <v>473</v>
      </c>
      <c r="C148" t="s">
        <v>287</v>
      </c>
      <c r="D148">
        <v>9</v>
      </c>
      <c r="E148">
        <v>4992</v>
      </c>
      <c r="F148">
        <v>9</v>
      </c>
      <c r="G148">
        <v>3600</v>
      </c>
      <c r="H148">
        <v>0</v>
      </c>
      <c r="I148">
        <v>319</v>
      </c>
      <c r="J148">
        <v>0</v>
      </c>
      <c r="K148">
        <v>0</v>
      </c>
      <c r="L148">
        <v>0</v>
      </c>
      <c r="M148">
        <v>1</v>
      </c>
      <c r="N148">
        <v>892.8</v>
      </c>
      <c r="O148">
        <v>4492.8</v>
      </c>
      <c r="P148">
        <v>8.93</v>
      </c>
      <c r="Q148">
        <v>44.93</v>
      </c>
      <c r="R148" t="s">
        <v>37</v>
      </c>
      <c r="S148" t="s">
        <v>1277</v>
      </c>
      <c r="T148" s="1">
        <v>43397.621562499997</v>
      </c>
      <c r="U148">
        <v>1</v>
      </c>
      <c r="V148" t="s">
        <v>44</v>
      </c>
      <c r="W148">
        <v>7</v>
      </c>
      <c r="X148" t="s">
        <v>49</v>
      </c>
      <c r="Y148">
        <v>10</v>
      </c>
      <c r="Z148">
        <v>0</v>
      </c>
      <c r="AA148" t="s">
        <v>50</v>
      </c>
      <c r="AB148">
        <v>0</v>
      </c>
      <c r="AC148" t="s">
        <v>43</v>
      </c>
      <c r="AD148">
        <v>36</v>
      </c>
      <c r="AE148">
        <v>49.92</v>
      </c>
      <c r="AF148">
        <v>0</v>
      </c>
      <c r="AG148">
        <v>0</v>
      </c>
      <c r="AH148" t="s">
        <v>474</v>
      </c>
      <c r="AI148" t="s">
        <v>43</v>
      </c>
    </row>
    <row r="149" spans="1:35" x14ac:dyDescent="0.25">
      <c r="A149">
        <v>208</v>
      </c>
      <c r="B149" t="s">
        <v>475</v>
      </c>
      <c r="C149" t="s">
        <v>48</v>
      </c>
      <c r="D149">
        <v>5</v>
      </c>
      <c r="E149">
        <v>145000</v>
      </c>
      <c r="F149">
        <v>8</v>
      </c>
      <c r="G149">
        <v>81200</v>
      </c>
      <c r="H149">
        <v>0</v>
      </c>
      <c r="I149">
        <v>196</v>
      </c>
      <c r="J149">
        <v>0</v>
      </c>
      <c r="K149">
        <v>0</v>
      </c>
      <c r="L149">
        <v>0</v>
      </c>
      <c r="M149">
        <v>1</v>
      </c>
      <c r="N149">
        <v>49300</v>
      </c>
      <c r="O149">
        <v>130500</v>
      </c>
      <c r="P149">
        <v>493</v>
      </c>
      <c r="Q149">
        <v>1305</v>
      </c>
      <c r="R149" t="s">
        <v>37</v>
      </c>
      <c r="S149" t="s">
        <v>1277</v>
      </c>
      <c r="T149" s="1">
        <v>43397.621562499997</v>
      </c>
      <c r="U149">
        <v>3</v>
      </c>
      <c r="V149" t="s">
        <v>38</v>
      </c>
      <c r="W149">
        <v>7</v>
      </c>
      <c r="X149" t="s">
        <v>49</v>
      </c>
      <c r="Y149">
        <v>10</v>
      </c>
      <c r="Z149">
        <v>0</v>
      </c>
      <c r="AA149" t="s">
        <v>50</v>
      </c>
      <c r="AB149">
        <v>0</v>
      </c>
      <c r="AC149" t="s">
        <v>43</v>
      </c>
      <c r="AD149">
        <v>812</v>
      </c>
      <c r="AE149">
        <v>1450</v>
      </c>
      <c r="AF149">
        <v>0</v>
      </c>
      <c r="AG149">
        <v>0</v>
      </c>
      <c r="AH149" t="s">
        <v>476</v>
      </c>
      <c r="AI149" t="s">
        <v>43</v>
      </c>
    </row>
    <row r="150" spans="1:35" x14ac:dyDescent="0.25">
      <c r="A150">
        <v>209</v>
      </c>
      <c r="B150" t="s">
        <v>477</v>
      </c>
      <c r="C150" t="s">
        <v>478</v>
      </c>
      <c r="D150">
        <v>0</v>
      </c>
      <c r="E150">
        <v>0</v>
      </c>
      <c r="F150">
        <v>621</v>
      </c>
      <c r="G150">
        <v>22200</v>
      </c>
      <c r="H150">
        <v>0</v>
      </c>
      <c r="I150">
        <v>432</v>
      </c>
      <c r="J150">
        <v>1</v>
      </c>
      <c r="K150">
        <v>5880</v>
      </c>
      <c r="L150">
        <v>5200</v>
      </c>
      <c r="M150">
        <v>1</v>
      </c>
      <c r="N150">
        <v>-22200</v>
      </c>
      <c r="O150">
        <v>-5200</v>
      </c>
      <c r="P150">
        <v>-222</v>
      </c>
      <c r="Q150">
        <v>-52</v>
      </c>
      <c r="R150" t="s">
        <v>37</v>
      </c>
      <c r="S150" t="s">
        <v>1277</v>
      </c>
      <c r="T150" s="1">
        <v>43397.621562499997</v>
      </c>
      <c r="U150">
        <v>5</v>
      </c>
      <c r="V150" t="s">
        <v>140</v>
      </c>
      <c r="W150">
        <v>8</v>
      </c>
      <c r="X150" t="s">
        <v>118</v>
      </c>
      <c r="Y150">
        <v>8</v>
      </c>
      <c r="Z150">
        <v>50</v>
      </c>
      <c r="AA150" t="s">
        <v>232</v>
      </c>
      <c r="AB150">
        <v>1</v>
      </c>
      <c r="AC150" t="s">
        <v>60</v>
      </c>
      <c r="AD150">
        <v>222</v>
      </c>
      <c r="AE150">
        <v>0</v>
      </c>
      <c r="AF150">
        <v>58.8</v>
      </c>
      <c r="AG150">
        <v>52</v>
      </c>
      <c r="AH150" t="s">
        <v>479</v>
      </c>
      <c r="AI150" t="s">
        <v>43</v>
      </c>
    </row>
    <row r="151" spans="1:35" x14ac:dyDescent="0.25">
      <c r="A151">
        <v>218</v>
      </c>
      <c r="B151" t="s">
        <v>480</v>
      </c>
      <c r="C151" t="s">
        <v>287</v>
      </c>
      <c r="D151">
        <v>26</v>
      </c>
      <c r="E151">
        <v>21848</v>
      </c>
      <c r="F151">
        <v>7</v>
      </c>
      <c r="G151">
        <v>17501</v>
      </c>
      <c r="H151">
        <v>0</v>
      </c>
      <c r="I151">
        <v>184</v>
      </c>
      <c r="J151">
        <v>0</v>
      </c>
      <c r="K151">
        <v>0</v>
      </c>
      <c r="L151">
        <v>0</v>
      </c>
      <c r="M151">
        <v>1</v>
      </c>
      <c r="N151">
        <v>2162.1999999999998</v>
      </c>
      <c r="O151">
        <v>19663.2</v>
      </c>
      <c r="P151">
        <v>21.62</v>
      </c>
      <c r="Q151">
        <v>196.63</v>
      </c>
      <c r="R151" t="s">
        <v>37</v>
      </c>
      <c r="S151" t="s">
        <v>1277</v>
      </c>
      <c r="T151" s="1">
        <v>43397.621562499997</v>
      </c>
      <c r="U151">
        <v>2</v>
      </c>
      <c r="V151" t="s">
        <v>47</v>
      </c>
      <c r="W151">
        <v>7</v>
      </c>
      <c r="X151" t="s">
        <v>49</v>
      </c>
      <c r="Y151">
        <v>10</v>
      </c>
      <c r="Z151">
        <v>0</v>
      </c>
      <c r="AA151" t="s">
        <v>50</v>
      </c>
      <c r="AB151">
        <v>0</v>
      </c>
      <c r="AC151" t="s">
        <v>43</v>
      </c>
      <c r="AD151">
        <v>175.01</v>
      </c>
      <c r="AE151">
        <v>218.48</v>
      </c>
      <c r="AF151">
        <v>0</v>
      </c>
      <c r="AG151">
        <v>0</v>
      </c>
      <c r="AH151" t="s">
        <v>481</v>
      </c>
      <c r="AI151" t="s">
        <v>43</v>
      </c>
    </row>
    <row r="152" spans="1:35" x14ac:dyDescent="0.25">
      <c r="A152">
        <v>219</v>
      </c>
      <c r="B152" t="s">
        <v>482</v>
      </c>
      <c r="C152" t="s">
        <v>401</v>
      </c>
      <c r="D152">
        <v>45</v>
      </c>
      <c r="E152">
        <v>2085</v>
      </c>
      <c r="F152">
        <v>19</v>
      </c>
      <c r="G152">
        <v>1720</v>
      </c>
      <c r="H152">
        <v>0</v>
      </c>
      <c r="I152">
        <v>242</v>
      </c>
      <c r="J152">
        <v>0</v>
      </c>
      <c r="K152">
        <v>0</v>
      </c>
      <c r="L152">
        <v>0</v>
      </c>
      <c r="M152">
        <v>1</v>
      </c>
      <c r="N152">
        <v>156.5</v>
      </c>
      <c r="O152">
        <v>1876.5</v>
      </c>
      <c r="P152">
        <v>1.57</v>
      </c>
      <c r="Q152">
        <v>18.77</v>
      </c>
      <c r="R152" t="s">
        <v>37</v>
      </c>
      <c r="S152" t="s">
        <v>1277</v>
      </c>
      <c r="T152" s="1">
        <v>43397.621562499997</v>
      </c>
      <c r="U152">
        <v>2</v>
      </c>
      <c r="V152" t="s">
        <v>47</v>
      </c>
      <c r="W152">
        <v>6</v>
      </c>
      <c r="X152" t="s">
        <v>350</v>
      </c>
      <c r="Y152">
        <v>2</v>
      </c>
      <c r="Z152">
        <v>0</v>
      </c>
      <c r="AA152" t="s">
        <v>351</v>
      </c>
      <c r="AB152">
        <v>0</v>
      </c>
      <c r="AC152" t="s">
        <v>43</v>
      </c>
      <c r="AD152">
        <v>17.2</v>
      </c>
      <c r="AE152">
        <v>20.85</v>
      </c>
      <c r="AF152">
        <v>0</v>
      </c>
      <c r="AG152">
        <v>0</v>
      </c>
      <c r="AH152" t="s">
        <v>483</v>
      </c>
    </row>
    <row r="153" spans="1:35" x14ac:dyDescent="0.25">
      <c r="A153">
        <v>221</v>
      </c>
      <c r="B153" t="s">
        <v>484</v>
      </c>
      <c r="C153" t="s">
        <v>43</v>
      </c>
      <c r="D153">
        <v>110</v>
      </c>
      <c r="E153">
        <v>6870</v>
      </c>
      <c r="F153">
        <v>59</v>
      </c>
      <c r="G153">
        <v>6772</v>
      </c>
      <c r="H153">
        <v>0</v>
      </c>
      <c r="I153">
        <v>0</v>
      </c>
      <c r="J153">
        <v>0</v>
      </c>
      <c r="K153">
        <v>0</v>
      </c>
      <c r="L153">
        <v>0</v>
      </c>
      <c r="M153">
        <v>1000</v>
      </c>
      <c r="N153">
        <v>-589</v>
      </c>
      <c r="O153">
        <v>6183</v>
      </c>
      <c r="P153" s="2">
        <v>-5.89</v>
      </c>
      <c r="Q153">
        <v>61.83</v>
      </c>
      <c r="R153" t="s">
        <v>37</v>
      </c>
      <c r="S153" t="s">
        <v>1277</v>
      </c>
      <c r="T153" s="1">
        <v>43397.621562499997</v>
      </c>
      <c r="U153">
        <v>1</v>
      </c>
      <c r="V153" t="s">
        <v>44</v>
      </c>
      <c r="W153">
        <v>8</v>
      </c>
      <c r="X153" t="s">
        <v>118</v>
      </c>
      <c r="Y153">
        <v>25</v>
      </c>
      <c r="Z153">
        <v>0</v>
      </c>
      <c r="AA153" t="s">
        <v>119</v>
      </c>
      <c r="AB153">
        <v>0</v>
      </c>
      <c r="AC153" t="s">
        <v>43</v>
      </c>
      <c r="AD153">
        <v>67.72</v>
      </c>
      <c r="AE153">
        <v>68.7</v>
      </c>
      <c r="AF153">
        <v>0</v>
      </c>
      <c r="AG153">
        <v>0</v>
      </c>
      <c r="AH153" t="s">
        <v>485</v>
      </c>
      <c r="AI153" t="s">
        <v>43</v>
      </c>
    </row>
    <row r="154" spans="1:35" x14ac:dyDescent="0.25">
      <c r="A154">
        <v>222</v>
      </c>
      <c r="B154" t="s">
        <v>486</v>
      </c>
      <c r="C154" t="s">
        <v>287</v>
      </c>
      <c r="D154">
        <v>1</v>
      </c>
      <c r="E154">
        <v>4597</v>
      </c>
      <c r="F154">
        <v>9</v>
      </c>
      <c r="G154">
        <v>3110</v>
      </c>
      <c r="H154">
        <v>0</v>
      </c>
      <c r="I154">
        <v>317</v>
      </c>
      <c r="J154">
        <v>0</v>
      </c>
      <c r="K154">
        <v>0</v>
      </c>
      <c r="L154">
        <v>0</v>
      </c>
      <c r="M154">
        <v>1</v>
      </c>
      <c r="N154">
        <v>1027.3</v>
      </c>
      <c r="O154">
        <v>4137.3</v>
      </c>
      <c r="P154">
        <v>10.27</v>
      </c>
      <c r="Q154">
        <v>41.37</v>
      </c>
      <c r="R154" t="s">
        <v>37</v>
      </c>
      <c r="S154" t="s">
        <v>1277</v>
      </c>
      <c r="T154" s="1">
        <v>43397.621562499997</v>
      </c>
      <c r="U154">
        <v>1</v>
      </c>
      <c r="V154" t="s">
        <v>44</v>
      </c>
      <c r="W154">
        <v>7</v>
      </c>
      <c r="X154" t="s">
        <v>49</v>
      </c>
      <c r="Y154">
        <v>10</v>
      </c>
      <c r="Z154">
        <v>0</v>
      </c>
      <c r="AA154" t="s">
        <v>50</v>
      </c>
      <c r="AB154">
        <v>0</v>
      </c>
      <c r="AC154" t="s">
        <v>43</v>
      </c>
      <c r="AD154">
        <v>31.1</v>
      </c>
      <c r="AE154">
        <v>45.97</v>
      </c>
      <c r="AF154">
        <v>0</v>
      </c>
      <c r="AG154">
        <v>0</v>
      </c>
      <c r="AH154" t="s">
        <v>487</v>
      </c>
      <c r="AI154" t="s">
        <v>43</v>
      </c>
    </row>
    <row r="155" spans="1:35" x14ac:dyDescent="0.25">
      <c r="A155">
        <v>224</v>
      </c>
      <c r="B155" t="s">
        <v>488</v>
      </c>
      <c r="C155" t="s">
        <v>287</v>
      </c>
      <c r="D155">
        <v>3</v>
      </c>
      <c r="E155">
        <v>5690</v>
      </c>
      <c r="F155">
        <v>6</v>
      </c>
      <c r="G155">
        <v>2835</v>
      </c>
      <c r="H155">
        <v>0</v>
      </c>
      <c r="I155">
        <v>373</v>
      </c>
      <c r="J155">
        <v>0</v>
      </c>
      <c r="K155">
        <v>0</v>
      </c>
      <c r="L155">
        <v>0</v>
      </c>
      <c r="M155">
        <v>1</v>
      </c>
      <c r="N155">
        <v>2286</v>
      </c>
      <c r="O155">
        <v>5121</v>
      </c>
      <c r="P155">
        <v>22.86</v>
      </c>
      <c r="Q155">
        <v>51.21</v>
      </c>
      <c r="R155" t="s">
        <v>37</v>
      </c>
      <c r="S155" t="s">
        <v>1277</v>
      </c>
      <c r="T155" s="1">
        <v>43397.621562499997</v>
      </c>
      <c r="U155">
        <v>1</v>
      </c>
      <c r="V155" t="s">
        <v>44</v>
      </c>
      <c r="W155">
        <v>7</v>
      </c>
      <c r="X155" t="s">
        <v>49</v>
      </c>
      <c r="Y155">
        <v>10</v>
      </c>
      <c r="Z155">
        <v>0</v>
      </c>
      <c r="AA155" t="s">
        <v>50</v>
      </c>
      <c r="AB155">
        <v>0</v>
      </c>
      <c r="AC155" t="s">
        <v>43</v>
      </c>
      <c r="AD155">
        <v>28.35</v>
      </c>
      <c r="AE155">
        <v>56.9</v>
      </c>
      <c r="AF155">
        <v>0</v>
      </c>
      <c r="AG155">
        <v>0</v>
      </c>
      <c r="AH155" t="s">
        <v>489</v>
      </c>
      <c r="AI155" t="s">
        <v>43</v>
      </c>
    </row>
    <row r="156" spans="1:35" x14ac:dyDescent="0.25">
      <c r="A156">
        <v>225</v>
      </c>
      <c r="B156" t="s">
        <v>490</v>
      </c>
      <c r="C156" t="s">
        <v>287</v>
      </c>
      <c r="D156">
        <v>7</v>
      </c>
      <c r="E156">
        <v>3999</v>
      </c>
      <c r="F156">
        <v>6</v>
      </c>
      <c r="G156">
        <v>3221</v>
      </c>
      <c r="H156">
        <v>0</v>
      </c>
      <c r="I156">
        <v>351</v>
      </c>
      <c r="J156">
        <v>0</v>
      </c>
      <c r="K156">
        <v>0</v>
      </c>
      <c r="L156">
        <v>0</v>
      </c>
      <c r="M156">
        <v>1</v>
      </c>
      <c r="N156">
        <v>378.1</v>
      </c>
      <c r="O156">
        <v>3599.1</v>
      </c>
      <c r="P156">
        <v>3.78</v>
      </c>
      <c r="Q156">
        <v>35.99</v>
      </c>
      <c r="R156" t="s">
        <v>37</v>
      </c>
      <c r="S156" t="s">
        <v>1277</v>
      </c>
      <c r="T156" s="1">
        <v>43397.621562499997</v>
      </c>
      <c r="U156">
        <v>1</v>
      </c>
      <c r="V156" t="s">
        <v>44</v>
      </c>
      <c r="W156">
        <v>7</v>
      </c>
      <c r="X156" t="s">
        <v>49</v>
      </c>
      <c r="Y156">
        <v>10</v>
      </c>
      <c r="Z156">
        <v>0</v>
      </c>
      <c r="AA156" t="s">
        <v>50</v>
      </c>
      <c r="AB156">
        <v>0</v>
      </c>
      <c r="AC156" t="s">
        <v>43</v>
      </c>
      <c r="AD156">
        <v>32.21</v>
      </c>
      <c r="AE156">
        <v>39.99</v>
      </c>
      <c r="AF156">
        <v>0</v>
      </c>
      <c r="AG156">
        <v>0</v>
      </c>
      <c r="AH156" t="s">
        <v>491</v>
      </c>
      <c r="AI156" t="s">
        <v>43</v>
      </c>
    </row>
    <row r="157" spans="1:35" x14ac:dyDescent="0.25">
      <c r="A157">
        <v>226</v>
      </c>
      <c r="B157" t="s">
        <v>492</v>
      </c>
      <c r="C157" t="s">
        <v>287</v>
      </c>
      <c r="D157">
        <v>15</v>
      </c>
      <c r="E157">
        <v>3849</v>
      </c>
      <c r="F157">
        <v>9</v>
      </c>
      <c r="G157">
        <v>2628</v>
      </c>
      <c r="H157">
        <v>0</v>
      </c>
      <c r="I157">
        <v>395</v>
      </c>
      <c r="J157">
        <v>0</v>
      </c>
      <c r="K157">
        <v>0</v>
      </c>
      <c r="L157">
        <v>0</v>
      </c>
      <c r="M157">
        <v>1</v>
      </c>
      <c r="N157">
        <v>836.1</v>
      </c>
      <c r="O157">
        <v>3464.1</v>
      </c>
      <c r="P157">
        <v>8.36</v>
      </c>
      <c r="Q157">
        <v>34.64</v>
      </c>
      <c r="R157" t="s">
        <v>37</v>
      </c>
      <c r="S157" t="s">
        <v>1277</v>
      </c>
      <c r="T157" s="1">
        <v>43397.621562499997</v>
      </c>
      <c r="U157">
        <v>1</v>
      </c>
      <c r="V157" t="s">
        <v>44</v>
      </c>
      <c r="W157">
        <v>7</v>
      </c>
      <c r="X157" t="s">
        <v>49</v>
      </c>
      <c r="Y157">
        <v>10</v>
      </c>
      <c r="Z157">
        <v>0</v>
      </c>
      <c r="AA157" t="s">
        <v>50</v>
      </c>
      <c r="AB157">
        <v>0</v>
      </c>
      <c r="AC157" t="s">
        <v>43</v>
      </c>
      <c r="AD157">
        <v>26.28</v>
      </c>
      <c r="AE157">
        <v>38.49</v>
      </c>
      <c r="AF157">
        <v>0</v>
      </c>
      <c r="AG157">
        <v>0</v>
      </c>
      <c r="AH157" t="s">
        <v>493</v>
      </c>
      <c r="AI157" t="s">
        <v>43</v>
      </c>
    </row>
    <row r="158" spans="1:35" x14ac:dyDescent="0.25">
      <c r="A158">
        <v>227</v>
      </c>
      <c r="B158" t="s">
        <v>494</v>
      </c>
      <c r="C158" t="s">
        <v>287</v>
      </c>
      <c r="D158">
        <v>10</v>
      </c>
      <c r="E158">
        <v>4400</v>
      </c>
      <c r="F158">
        <v>14</v>
      </c>
      <c r="G158">
        <v>2607</v>
      </c>
      <c r="H158">
        <v>0</v>
      </c>
      <c r="I158">
        <v>346</v>
      </c>
      <c r="J158">
        <v>0</v>
      </c>
      <c r="K158">
        <v>0</v>
      </c>
      <c r="L158">
        <v>0</v>
      </c>
      <c r="M158">
        <v>1</v>
      </c>
      <c r="N158">
        <v>1353</v>
      </c>
      <c r="O158">
        <v>3960</v>
      </c>
      <c r="P158">
        <v>13.53</v>
      </c>
      <c r="Q158">
        <v>39.6</v>
      </c>
      <c r="R158" t="s">
        <v>37</v>
      </c>
      <c r="S158" t="s">
        <v>1277</v>
      </c>
      <c r="T158" s="1">
        <v>43397.621562499997</v>
      </c>
      <c r="U158">
        <v>1</v>
      </c>
      <c r="V158" t="s">
        <v>44</v>
      </c>
      <c r="W158">
        <v>7</v>
      </c>
      <c r="X158" t="s">
        <v>49</v>
      </c>
      <c r="Y158">
        <v>10</v>
      </c>
      <c r="Z158">
        <v>0</v>
      </c>
      <c r="AA158" t="s">
        <v>50</v>
      </c>
      <c r="AB158">
        <v>0</v>
      </c>
      <c r="AC158" t="s">
        <v>43</v>
      </c>
      <c r="AD158">
        <v>26.07</v>
      </c>
      <c r="AE158">
        <v>44</v>
      </c>
      <c r="AF158">
        <v>0</v>
      </c>
      <c r="AG158">
        <v>0</v>
      </c>
      <c r="AH158" t="s">
        <v>495</v>
      </c>
      <c r="AI158" t="s">
        <v>43</v>
      </c>
    </row>
    <row r="159" spans="1:35" x14ac:dyDescent="0.25">
      <c r="A159">
        <v>228</v>
      </c>
      <c r="B159" t="s">
        <v>496</v>
      </c>
      <c r="C159" t="s">
        <v>287</v>
      </c>
      <c r="D159">
        <v>8</v>
      </c>
      <c r="E159">
        <v>34499</v>
      </c>
      <c r="F159">
        <v>7</v>
      </c>
      <c r="G159">
        <v>14200</v>
      </c>
      <c r="H159">
        <v>0</v>
      </c>
      <c r="I159">
        <v>325</v>
      </c>
      <c r="J159">
        <v>0</v>
      </c>
      <c r="K159">
        <v>0</v>
      </c>
      <c r="L159">
        <v>0</v>
      </c>
      <c r="M159">
        <v>1</v>
      </c>
      <c r="N159">
        <v>16849.099999999999</v>
      </c>
      <c r="O159">
        <v>31049.1</v>
      </c>
      <c r="P159">
        <v>168.49</v>
      </c>
      <c r="Q159">
        <v>310.49</v>
      </c>
      <c r="R159" t="s">
        <v>37</v>
      </c>
      <c r="S159" t="s">
        <v>1277</v>
      </c>
      <c r="T159" s="1">
        <v>43397.621562499997</v>
      </c>
      <c r="U159">
        <v>2</v>
      </c>
      <c r="V159" t="s">
        <v>47</v>
      </c>
      <c r="W159">
        <v>7</v>
      </c>
      <c r="X159" t="s">
        <v>49</v>
      </c>
      <c r="Y159">
        <v>10</v>
      </c>
      <c r="Z159">
        <v>0</v>
      </c>
      <c r="AA159" t="s">
        <v>50</v>
      </c>
      <c r="AB159">
        <v>0</v>
      </c>
      <c r="AC159" t="s">
        <v>43</v>
      </c>
      <c r="AD159">
        <v>142</v>
      </c>
      <c r="AE159">
        <v>344.99</v>
      </c>
      <c r="AF159">
        <v>0</v>
      </c>
      <c r="AG159">
        <v>0</v>
      </c>
      <c r="AH159" t="s">
        <v>497</v>
      </c>
      <c r="AI159" t="s">
        <v>43</v>
      </c>
    </row>
    <row r="160" spans="1:35" x14ac:dyDescent="0.25">
      <c r="A160">
        <v>229</v>
      </c>
      <c r="B160" t="s">
        <v>498</v>
      </c>
      <c r="C160" t="s">
        <v>287</v>
      </c>
      <c r="D160">
        <v>10</v>
      </c>
      <c r="E160">
        <v>44445</v>
      </c>
      <c r="F160">
        <v>8</v>
      </c>
      <c r="G160">
        <v>38000</v>
      </c>
      <c r="H160">
        <v>0</v>
      </c>
      <c r="I160">
        <v>358</v>
      </c>
      <c r="J160">
        <v>0</v>
      </c>
      <c r="K160">
        <v>0</v>
      </c>
      <c r="L160">
        <v>0</v>
      </c>
      <c r="M160">
        <v>1</v>
      </c>
      <c r="N160">
        <v>2000.5</v>
      </c>
      <c r="O160">
        <v>40000.5</v>
      </c>
      <c r="P160">
        <v>20.010000000000002</v>
      </c>
      <c r="Q160">
        <v>400.01</v>
      </c>
      <c r="R160" t="s">
        <v>37</v>
      </c>
      <c r="S160" t="s">
        <v>1277</v>
      </c>
      <c r="T160" s="1">
        <v>43397.621562499997</v>
      </c>
      <c r="U160">
        <v>2</v>
      </c>
      <c r="V160" t="s">
        <v>47</v>
      </c>
      <c r="W160">
        <v>7</v>
      </c>
      <c r="X160" t="s">
        <v>49</v>
      </c>
      <c r="Y160">
        <v>10</v>
      </c>
      <c r="Z160">
        <v>0</v>
      </c>
      <c r="AA160" t="s">
        <v>50</v>
      </c>
      <c r="AB160">
        <v>0</v>
      </c>
      <c r="AC160" t="s">
        <v>43</v>
      </c>
      <c r="AD160">
        <v>380</v>
      </c>
      <c r="AE160">
        <v>444.45</v>
      </c>
      <c r="AF160">
        <v>0</v>
      </c>
      <c r="AG160">
        <v>0</v>
      </c>
      <c r="AH160" t="s">
        <v>499</v>
      </c>
      <c r="AI160" t="s">
        <v>43</v>
      </c>
    </row>
    <row r="161" spans="1:35" x14ac:dyDescent="0.25">
      <c r="A161">
        <v>230</v>
      </c>
      <c r="B161" t="s">
        <v>500</v>
      </c>
      <c r="C161" t="s">
        <v>287</v>
      </c>
      <c r="D161">
        <v>14</v>
      </c>
      <c r="E161">
        <v>3900</v>
      </c>
      <c r="F161">
        <v>8</v>
      </c>
      <c r="G161">
        <v>2902</v>
      </c>
      <c r="H161">
        <v>0</v>
      </c>
      <c r="I161">
        <v>378</v>
      </c>
      <c r="J161">
        <v>0</v>
      </c>
      <c r="K161">
        <v>0</v>
      </c>
      <c r="L161">
        <v>0</v>
      </c>
      <c r="M161">
        <v>1</v>
      </c>
      <c r="N161">
        <v>608</v>
      </c>
      <c r="O161">
        <v>3510</v>
      </c>
      <c r="P161">
        <v>6.08</v>
      </c>
      <c r="Q161">
        <v>35.1</v>
      </c>
      <c r="R161" t="s">
        <v>37</v>
      </c>
      <c r="S161" t="s">
        <v>1277</v>
      </c>
      <c r="T161" s="1">
        <v>43397.621562499997</v>
      </c>
      <c r="U161">
        <v>1</v>
      </c>
      <c r="V161" t="s">
        <v>44</v>
      </c>
      <c r="W161">
        <v>7</v>
      </c>
      <c r="X161" t="s">
        <v>49</v>
      </c>
      <c r="Y161">
        <v>10</v>
      </c>
      <c r="Z161">
        <v>0</v>
      </c>
      <c r="AA161" t="s">
        <v>50</v>
      </c>
      <c r="AB161">
        <v>0</v>
      </c>
      <c r="AC161" t="s">
        <v>43</v>
      </c>
      <c r="AD161">
        <v>29.02</v>
      </c>
      <c r="AE161">
        <v>39</v>
      </c>
      <c r="AF161">
        <v>0</v>
      </c>
      <c r="AG161">
        <v>0</v>
      </c>
      <c r="AH161" t="s">
        <v>501</v>
      </c>
      <c r="AI161" t="s">
        <v>43</v>
      </c>
    </row>
    <row r="162" spans="1:35" x14ac:dyDescent="0.25">
      <c r="A162">
        <v>302</v>
      </c>
      <c r="B162" t="s">
        <v>502</v>
      </c>
      <c r="C162" t="s">
        <v>287</v>
      </c>
      <c r="D162">
        <v>15</v>
      </c>
      <c r="E162">
        <v>4887</v>
      </c>
      <c r="F162">
        <v>11</v>
      </c>
      <c r="G162">
        <v>3502</v>
      </c>
      <c r="H162">
        <v>0</v>
      </c>
      <c r="I162">
        <v>329</v>
      </c>
      <c r="J162">
        <v>0</v>
      </c>
      <c r="K162">
        <v>0</v>
      </c>
      <c r="L162">
        <v>0</v>
      </c>
      <c r="M162">
        <v>1</v>
      </c>
      <c r="N162">
        <v>896.3</v>
      </c>
      <c r="O162">
        <v>4398.3</v>
      </c>
      <c r="P162">
        <v>8.9600000000000009</v>
      </c>
      <c r="Q162">
        <v>43.98</v>
      </c>
      <c r="R162" t="s">
        <v>37</v>
      </c>
      <c r="S162" t="s">
        <v>1277</v>
      </c>
      <c r="T162" s="1">
        <v>43397.621562499997</v>
      </c>
      <c r="U162">
        <v>5</v>
      </c>
      <c r="V162" t="s">
        <v>140</v>
      </c>
      <c r="W162">
        <v>7</v>
      </c>
      <c r="X162" t="s">
        <v>49</v>
      </c>
      <c r="Y162">
        <v>10</v>
      </c>
      <c r="Z162">
        <v>0</v>
      </c>
      <c r="AA162" t="s">
        <v>50</v>
      </c>
      <c r="AB162">
        <v>0</v>
      </c>
      <c r="AC162" t="s">
        <v>43</v>
      </c>
      <c r="AD162">
        <v>35.020000000000003</v>
      </c>
      <c r="AE162">
        <v>48.87</v>
      </c>
      <c r="AF162">
        <v>0</v>
      </c>
      <c r="AG162">
        <v>0</v>
      </c>
      <c r="AH162" t="s">
        <v>503</v>
      </c>
      <c r="AI162" t="s">
        <v>43</v>
      </c>
    </row>
    <row r="163" spans="1:35" x14ac:dyDescent="0.25">
      <c r="A163">
        <v>303</v>
      </c>
      <c r="B163" t="s">
        <v>504</v>
      </c>
      <c r="C163" t="s">
        <v>48</v>
      </c>
      <c r="D163">
        <v>10</v>
      </c>
      <c r="E163">
        <v>9100</v>
      </c>
      <c r="F163">
        <v>34</v>
      </c>
      <c r="G163">
        <v>7600</v>
      </c>
      <c r="H163">
        <v>0</v>
      </c>
      <c r="I163">
        <v>310</v>
      </c>
      <c r="J163">
        <v>0</v>
      </c>
      <c r="K163">
        <v>0</v>
      </c>
      <c r="L163">
        <v>0</v>
      </c>
      <c r="M163">
        <v>1</v>
      </c>
      <c r="N163">
        <v>590</v>
      </c>
      <c r="O163">
        <v>8190</v>
      </c>
      <c r="P163">
        <v>5.9</v>
      </c>
      <c r="Q163">
        <v>81.900000000000006</v>
      </c>
      <c r="R163" t="s">
        <v>37</v>
      </c>
      <c r="S163" t="s">
        <v>1277</v>
      </c>
      <c r="T163" s="1">
        <v>43397.621562499997</v>
      </c>
      <c r="U163">
        <v>5</v>
      </c>
      <c r="V163" t="s">
        <v>140</v>
      </c>
      <c r="W163">
        <v>7</v>
      </c>
      <c r="X163" t="s">
        <v>49</v>
      </c>
      <c r="Y163">
        <v>10</v>
      </c>
      <c r="Z163">
        <v>0</v>
      </c>
      <c r="AA163" t="s">
        <v>50</v>
      </c>
      <c r="AB163">
        <v>0</v>
      </c>
      <c r="AC163" t="s">
        <v>43</v>
      </c>
      <c r="AD163">
        <v>76</v>
      </c>
      <c r="AE163">
        <v>91</v>
      </c>
      <c r="AF163">
        <v>0</v>
      </c>
      <c r="AG163">
        <v>0</v>
      </c>
      <c r="AH163" t="s">
        <v>505</v>
      </c>
      <c r="AI163" t="s">
        <v>43</v>
      </c>
    </row>
    <row r="164" spans="1:35" x14ac:dyDescent="0.25">
      <c r="A164">
        <v>304</v>
      </c>
      <c r="B164" s="2" t="s">
        <v>506</v>
      </c>
      <c r="C164" t="s">
        <v>43</v>
      </c>
      <c r="D164">
        <v>20</v>
      </c>
      <c r="E164">
        <v>8230</v>
      </c>
      <c r="F164">
        <v>3</v>
      </c>
      <c r="G164">
        <v>6111</v>
      </c>
      <c r="H164">
        <v>0</v>
      </c>
      <c r="I164">
        <v>327</v>
      </c>
      <c r="J164">
        <v>0</v>
      </c>
      <c r="K164">
        <v>0</v>
      </c>
      <c r="L164">
        <v>0</v>
      </c>
      <c r="M164">
        <v>1</v>
      </c>
      <c r="N164">
        <v>1296</v>
      </c>
      <c r="O164">
        <v>7407</v>
      </c>
      <c r="P164">
        <v>12.96</v>
      </c>
      <c r="Q164">
        <v>74.069999999999993</v>
      </c>
      <c r="R164" t="s">
        <v>37</v>
      </c>
      <c r="S164" t="s">
        <v>1277</v>
      </c>
      <c r="T164" s="1">
        <v>43397.621562499997</v>
      </c>
      <c r="U164">
        <v>3</v>
      </c>
      <c r="V164" t="s">
        <v>38</v>
      </c>
      <c r="W164">
        <v>7</v>
      </c>
      <c r="X164" t="s">
        <v>49</v>
      </c>
      <c r="Y164">
        <v>10</v>
      </c>
      <c r="Z164">
        <v>0</v>
      </c>
      <c r="AA164" t="s">
        <v>50</v>
      </c>
      <c r="AB164">
        <v>0</v>
      </c>
      <c r="AC164" t="s">
        <v>43</v>
      </c>
      <c r="AD164">
        <v>61.11</v>
      </c>
      <c r="AE164">
        <v>82.3</v>
      </c>
      <c r="AF164">
        <v>0</v>
      </c>
      <c r="AG164">
        <v>0</v>
      </c>
      <c r="AH164" t="s">
        <v>507</v>
      </c>
      <c r="AI164" t="s">
        <v>43</v>
      </c>
    </row>
    <row r="165" spans="1:35" x14ac:dyDescent="0.25">
      <c r="A165">
        <v>305</v>
      </c>
      <c r="B165" s="2" t="s">
        <v>508</v>
      </c>
      <c r="C165" t="s">
        <v>43</v>
      </c>
      <c r="D165">
        <v>11</v>
      </c>
      <c r="E165">
        <v>8160</v>
      </c>
      <c r="F165">
        <v>8</v>
      </c>
      <c r="G165">
        <v>4800</v>
      </c>
      <c r="H165">
        <v>0</v>
      </c>
      <c r="I165">
        <v>313</v>
      </c>
      <c r="J165">
        <v>0</v>
      </c>
      <c r="K165">
        <v>0</v>
      </c>
      <c r="L165">
        <v>0</v>
      </c>
      <c r="M165">
        <v>1</v>
      </c>
      <c r="N165">
        <v>2544</v>
      </c>
      <c r="O165">
        <v>7344</v>
      </c>
      <c r="P165">
        <v>25.44</v>
      </c>
      <c r="Q165">
        <v>73.44</v>
      </c>
      <c r="R165" t="s">
        <v>37</v>
      </c>
      <c r="S165" t="s">
        <v>1277</v>
      </c>
      <c r="T165" s="1">
        <v>43397.621562499997</v>
      </c>
      <c r="U165">
        <v>3</v>
      </c>
      <c r="V165" t="s">
        <v>38</v>
      </c>
      <c r="W165">
        <v>7</v>
      </c>
      <c r="X165" t="s">
        <v>49</v>
      </c>
      <c r="Y165">
        <v>10</v>
      </c>
      <c r="Z165">
        <v>0</v>
      </c>
      <c r="AA165" t="s">
        <v>50</v>
      </c>
      <c r="AB165">
        <v>0</v>
      </c>
      <c r="AC165" t="s">
        <v>43</v>
      </c>
      <c r="AD165">
        <v>48</v>
      </c>
      <c r="AE165">
        <v>81.599999999999994</v>
      </c>
      <c r="AF165">
        <v>0</v>
      </c>
      <c r="AG165">
        <v>0</v>
      </c>
      <c r="AH165" t="s">
        <v>509</v>
      </c>
      <c r="AI165" t="s">
        <v>43</v>
      </c>
    </row>
    <row r="166" spans="1:35" x14ac:dyDescent="0.25">
      <c r="A166">
        <v>307</v>
      </c>
      <c r="B166" s="2" t="s">
        <v>510</v>
      </c>
      <c r="C166" t="s">
        <v>43</v>
      </c>
      <c r="D166">
        <v>16</v>
      </c>
      <c r="E166">
        <v>1183</v>
      </c>
      <c r="F166">
        <v>25</v>
      </c>
      <c r="G166">
        <v>533</v>
      </c>
      <c r="H166">
        <v>0</v>
      </c>
      <c r="I166">
        <v>385</v>
      </c>
      <c r="J166">
        <v>0</v>
      </c>
      <c r="K166">
        <v>0</v>
      </c>
      <c r="L166">
        <v>0</v>
      </c>
      <c r="M166">
        <v>1</v>
      </c>
      <c r="N166">
        <v>531.70000000000005</v>
      </c>
      <c r="O166">
        <v>1064.7</v>
      </c>
      <c r="P166">
        <v>5.32</v>
      </c>
      <c r="Q166">
        <v>10.65</v>
      </c>
      <c r="R166" t="s">
        <v>37</v>
      </c>
      <c r="S166" t="s">
        <v>1277</v>
      </c>
      <c r="T166" s="1">
        <v>43397.621562499997</v>
      </c>
      <c r="U166">
        <v>2</v>
      </c>
      <c r="V166" t="s">
        <v>47</v>
      </c>
      <c r="W166">
        <v>6</v>
      </c>
      <c r="X166" t="s">
        <v>350</v>
      </c>
      <c r="Y166">
        <v>39</v>
      </c>
      <c r="Z166">
        <v>0</v>
      </c>
      <c r="AA166" t="s">
        <v>511</v>
      </c>
      <c r="AB166">
        <v>0</v>
      </c>
      <c r="AC166" t="s">
        <v>43</v>
      </c>
      <c r="AD166">
        <v>5.33</v>
      </c>
      <c r="AE166">
        <v>11.83</v>
      </c>
      <c r="AF166">
        <v>0</v>
      </c>
      <c r="AG166">
        <v>0</v>
      </c>
      <c r="AH166" t="s">
        <v>512</v>
      </c>
      <c r="AI166" t="s">
        <v>43</v>
      </c>
    </row>
    <row r="167" spans="1:35" x14ac:dyDescent="0.25">
      <c r="A167">
        <v>308</v>
      </c>
      <c r="B167" t="s">
        <v>513</v>
      </c>
      <c r="C167" t="s">
        <v>514</v>
      </c>
      <c r="D167">
        <v>21</v>
      </c>
      <c r="E167">
        <v>3799</v>
      </c>
      <c r="F167">
        <v>35</v>
      </c>
      <c r="G167">
        <v>2701</v>
      </c>
      <c r="H167">
        <v>0</v>
      </c>
      <c r="I167">
        <v>216</v>
      </c>
      <c r="J167">
        <v>1</v>
      </c>
      <c r="K167">
        <v>10879</v>
      </c>
      <c r="L167">
        <v>9378</v>
      </c>
      <c r="M167">
        <v>1</v>
      </c>
      <c r="N167">
        <v>718.1</v>
      </c>
      <c r="O167">
        <v>-5958.9</v>
      </c>
      <c r="P167">
        <v>7.18</v>
      </c>
      <c r="Q167">
        <v>-59.59</v>
      </c>
      <c r="R167" t="s">
        <v>59</v>
      </c>
      <c r="S167" t="s">
        <v>1277</v>
      </c>
      <c r="T167" s="1">
        <v>43397.621562499997</v>
      </c>
      <c r="U167">
        <v>3</v>
      </c>
      <c r="V167" t="s">
        <v>38</v>
      </c>
      <c r="W167">
        <v>6</v>
      </c>
      <c r="X167" t="s">
        <v>350</v>
      </c>
      <c r="Y167">
        <v>2</v>
      </c>
      <c r="Z167">
        <v>119</v>
      </c>
      <c r="AA167" t="s">
        <v>351</v>
      </c>
      <c r="AB167">
        <v>1</v>
      </c>
      <c r="AC167" t="s">
        <v>60</v>
      </c>
      <c r="AD167">
        <v>27.01</v>
      </c>
      <c r="AE167">
        <v>37.99</v>
      </c>
      <c r="AF167">
        <v>108.79</v>
      </c>
      <c r="AG167">
        <v>93.78</v>
      </c>
      <c r="AH167" t="s">
        <v>515</v>
      </c>
    </row>
    <row r="168" spans="1:35" x14ac:dyDescent="0.25">
      <c r="A168">
        <v>310</v>
      </c>
      <c r="B168" t="s">
        <v>516</v>
      </c>
      <c r="C168" t="s">
        <v>517</v>
      </c>
      <c r="D168">
        <v>57</v>
      </c>
      <c r="E168">
        <v>177</v>
      </c>
      <c r="F168">
        <v>72</v>
      </c>
      <c r="G168">
        <v>125</v>
      </c>
      <c r="H168">
        <v>0</v>
      </c>
      <c r="I168">
        <v>208</v>
      </c>
      <c r="J168">
        <v>0</v>
      </c>
      <c r="K168">
        <v>0</v>
      </c>
      <c r="L168">
        <v>0</v>
      </c>
      <c r="M168">
        <v>1</v>
      </c>
      <c r="N168">
        <v>34.299999999999997</v>
      </c>
      <c r="O168">
        <v>159.30000000000001</v>
      </c>
      <c r="P168">
        <v>0.34</v>
      </c>
      <c r="Q168">
        <v>1.59</v>
      </c>
      <c r="R168" t="s">
        <v>37</v>
      </c>
      <c r="S168" t="s">
        <v>1277</v>
      </c>
      <c r="T168" s="1">
        <v>43397.621562499997</v>
      </c>
      <c r="U168">
        <v>1</v>
      </c>
      <c r="V168" t="s">
        <v>44</v>
      </c>
      <c r="W168">
        <v>6</v>
      </c>
      <c r="X168" t="s">
        <v>350</v>
      </c>
      <c r="Y168">
        <v>2</v>
      </c>
      <c r="Z168">
        <v>0</v>
      </c>
      <c r="AA168" t="s">
        <v>351</v>
      </c>
      <c r="AB168">
        <v>0</v>
      </c>
      <c r="AC168" t="s">
        <v>43</v>
      </c>
      <c r="AD168">
        <v>1.25</v>
      </c>
      <c r="AE168">
        <v>1.77</v>
      </c>
      <c r="AF168">
        <v>0</v>
      </c>
      <c r="AG168">
        <v>0</v>
      </c>
      <c r="AH168" t="s">
        <v>518</v>
      </c>
    </row>
    <row r="169" spans="1:35" x14ac:dyDescent="0.25">
      <c r="A169">
        <v>311</v>
      </c>
      <c r="B169" s="2" t="s">
        <v>519</v>
      </c>
      <c r="C169" t="s">
        <v>43</v>
      </c>
      <c r="D169">
        <v>39</v>
      </c>
      <c r="E169">
        <v>516</v>
      </c>
      <c r="F169">
        <v>11</v>
      </c>
      <c r="G169">
        <v>350</v>
      </c>
      <c r="H169">
        <v>0</v>
      </c>
      <c r="I169">
        <v>293</v>
      </c>
      <c r="J169">
        <v>1</v>
      </c>
      <c r="K169">
        <v>2922</v>
      </c>
      <c r="L169">
        <v>2501</v>
      </c>
      <c r="M169">
        <v>1</v>
      </c>
      <c r="N169">
        <v>114.4</v>
      </c>
      <c r="O169">
        <v>-2036.6</v>
      </c>
      <c r="P169">
        <v>1.1399999999999999</v>
      </c>
      <c r="Q169">
        <v>-20.37</v>
      </c>
      <c r="R169" t="s">
        <v>59</v>
      </c>
      <c r="S169" t="s">
        <v>1277</v>
      </c>
      <c r="T169" s="1">
        <v>43397.621562499997</v>
      </c>
      <c r="U169">
        <v>2</v>
      </c>
      <c r="V169" t="s">
        <v>47</v>
      </c>
      <c r="W169">
        <v>6</v>
      </c>
      <c r="X169" t="s">
        <v>350</v>
      </c>
      <c r="Y169">
        <v>39</v>
      </c>
      <c r="Z169">
        <v>128</v>
      </c>
      <c r="AA169" t="s">
        <v>511</v>
      </c>
      <c r="AB169">
        <v>1</v>
      </c>
      <c r="AC169" t="s">
        <v>60</v>
      </c>
      <c r="AD169">
        <v>3.5</v>
      </c>
      <c r="AE169">
        <v>5.16</v>
      </c>
      <c r="AF169">
        <v>29.22</v>
      </c>
      <c r="AG169">
        <v>25.01</v>
      </c>
      <c r="AH169" t="s">
        <v>520</v>
      </c>
      <c r="AI169" t="s">
        <v>43</v>
      </c>
    </row>
    <row r="170" spans="1:35" x14ac:dyDescent="0.25">
      <c r="A170">
        <v>312</v>
      </c>
      <c r="B170" s="2" t="s">
        <v>521</v>
      </c>
      <c r="C170" t="s">
        <v>43</v>
      </c>
      <c r="D170">
        <v>30</v>
      </c>
      <c r="E170">
        <v>1206</v>
      </c>
      <c r="F170">
        <v>17</v>
      </c>
      <c r="G170">
        <v>950</v>
      </c>
      <c r="H170">
        <v>0</v>
      </c>
      <c r="I170">
        <v>362</v>
      </c>
      <c r="J170">
        <v>0</v>
      </c>
      <c r="K170">
        <v>0</v>
      </c>
      <c r="L170">
        <v>0</v>
      </c>
      <c r="M170">
        <v>1</v>
      </c>
      <c r="N170">
        <v>135.4</v>
      </c>
      <c r="O170">
        <v>1085.4000000000001</v>
      </c>
      <c r="P170">
        <v>1.35</v>
      </c>
      <c r="Q170">
        <v>10.85</v>
      </c>
      <c r="R170" t="s">
        <v>37</v>
      </c>
      <c r="S170" t="s">
        <v>1277</v>
      </c>
      <c r="T170" s="1">
        <v>43397.621562499997</v>
      </c>
      <c r="U170">
        <v>2</v>
      </c>
      <c r="V170" t="s">
        <v>47</v>
      </c>
      <c r="W170">
        <v>6</v>
      </c>
      <c r="X170" t="s">
        <v>350</v>
      </c>
      <c r="Y170">
        <v>39</v>
      </c>
      <c r="Z170">
        <v>0</v>
      </c>
      <c r="AA170" t="s">
        <v>511</v>
      </c>
      <c r="AB170">
        <v>0</v>
      </c>
      <c r="AC170" t="s">
        <v>43</v>
      </c>
      <c r="AD170">
        <v>9.5</v>
      </c>
      <c r="AE170">
        <v>12.06</v>
      </c>
      <c r="AF170">
        <v>0</v>
      </c>
      <c r="AG170">
        <v>0</v>
      </c>
      <c r="AH170" t="s">
        <v>522</v>
      </c>
      <c r="AI170" t="s">
        <v>43</v>
      </c>
    </row>
    <row r="171" spans="1:35" x14ac:dyDescent="0.25">
      <c r="A171">
        <v>313</v>
      </c>
      <c r="B171" s="2" t="s">
        <v>523</v>
      </c>
      <c r="C171" t="s">
        <v>43</v>
      </c>
      <c r="D171">
        <v>16</v>
      </c>
      <c r="E171">
        <v>1112</v>
      </c>
      <c r="F171">
        <v>5</v>
      </c>
      <c r="G171">
        <v>711</v>
      </c>
      <c r="H171">
        <v>0</v>
      </c>
      <c r="I171">
        <v>383</v>
      </c>
      <c r="J171">
        <v>0</v>
      </c>
      <c r="K171">
        <v>0</v>
      </c>
      <c r="L171">
        <v>0</v>
      </c>
      <c r="M171">
        <v>1</v>
      </c>
      <c r="N171">
        <v>289.8</v>
      </c>
      <c r="O171">
        <v>1000.8</v>
      </c>
      <c r="P171">
        <v>2.9</v>
      </c>
      <c r="Q171">
        <v>10.01</v>
      </c>
      <c r="R171" t="s">
        <v>37</v>
      </c>
      <c r="S171" t="s">
        <v>1277</v>
      </c>
      <c r="T171" s="1">
        <v>43397.621562499997</v>
      </c>
      <c r="U171">
        <v>2</v>
      </c>
      <c r="V171" t="s">
        <v>47</v>
      </c>
      <c r="W171">
        <v>6</v>
      </c>
      <c r="X171" t="s">
        <v>350</v>
      </c>
      <c r="Y171">
        <v>39</v>
      </c>
      <c r="Z171">
        <v>0</v>
      </c>
      <c r="AA171" t="s">
        <v>511</v>
      </c>
      <c r="AB171">
        <v>0</v>
      </c>
      <c r="AC171" t="s">
        <v>43</v>
      </c>
      <c r="AD171">
        <v>7.11</v>
      </c>
      <c r="AE171">
        <v>11.12</v>
      </c>
      <c r="AF171">
        <v>0</v>
      </c>
      <c r="AG171">
        <v>0</v>
      </c>
      <c r="AH171" t="s">
        <v>524</v>
      </c>
      <c r="AI171" t="s">
        <v>43</v>
      </c>
    </row>
    <row r="172" spans="1:35" x14ac:dyDescent="0.25">
      <c r="A172">
        <v>314</v>
      </c>
      <c r="B172" s="2" t="s">
        <v>525</v>
      </c>
      <c r="C172" t="s">
        <v>43</v>
      </c>
      <c r="D172">
        <v>72</v>
      </c>
      <c r="E172">
        <v>468</v>
      </c>
      <c r="F172">
        <v>5</v>
      </c>
      <c r="G172">
        <v>351</v>
      </c>
      <c r="H172">
        <v>0</v>
      </c>
      <c r="I172">
        <v>270</v>
      </c>
      <c r="J172">
        <v>1</v>
      </c>
      <c r="K172">
        <v>1461</v>
      </c>
      <c r="L172">
        <v>1251</v>
      </c>
      <c r="M172">
        <v>1</v>
      </c>
      <c r="N172">
        <v>70.2</v>
      </c>
      <c r="O172">
        <v>-829.8</v>
      </c>
      <c r="P172">
        <v>0.7</v>
      </c>
      <c r="Q172">
        <v>-8.3000000000000007</v>
      </c>
      <c r="R172" t="s">
        <v>59</v>
      </c>
      <c r="S172" t="s">
        <v>1277</v>
      </c>
      <c r="T172" s="1">
        <v>43397.621562499997</v>
      </c>
      <c r="U172">
        <v>2</v>
      </c>
      <c r="V172" t="s">
        <v>47</v>
      </c>
      <c r="W172">
        <v>6</v>
      </c>
      <c r="X172" t="s">
        <v>350</v>
      </c>
      <c r="Y172">
        <v>39</v>
      </c>
      <c r="Z172">
        <v>126</v>
      </c>
      <c r="AA172" t="s">
        <v>511</v>
      </c>
      <c r="AB172">
        <v>1</v>
      </c>
      <c r="AC172" t="s">
        <v>60</v>
      </c>
      <c r="AD172">
        <v>3.51</v>
      </c>
      <c r="AE172">
        <v>4.68</v>
      </c>
      <c r="AF172">
        <v>14.61</v>
      </c>
      <c r="AG172">
        <v>12.51</v>
      </c>
      <c r="AH172" t="s">
        <v>526</v>
      </c>
      <c r="AI172" t="s">
        <v>43</v>
      </c>
    </row>
    <row r="173" spans="1:35" x14ac:dyDescent="0.25">
      <c r="A173">
        <v>315</v>
      </c>
      <c r="B173" s="2" t="s">
        <v>527</v>
      </c>
      <c r="C173" t="s">
        <v>43</v>
      </c>
      <c r="D173">
        <v>51</v>
      </c>
      <c r="E173">
        <v>490</v>
      </c>
      <c r="F173">
        <v>9</v>
      </c>
      <c r="G173">
        <v>346</v>
      </c>
      <c r="H173">
        <v>0</v>
      </c>
      <c r="I173">
        <v>287</v>
      </c>
      <c r="J173">
        <v>1</v>
      </c>
      <c r="K173">
        <v>0</v>
      </c>
      <c r="L173">
        <v>0</v>
      </c>
      <c r="M173">
        <v>1</v>
      </c>
      <c r="N173">
        <v>95</v>
      </c>
      <c r="O173">
        <v>441</v>
      </c>
      <c r="P173">
        <v>0.95</v>
      </c>
      <c r="Q173">
        <v>4.41</v>
      </c>
      <c r="R173" t="s">
        <v>37</v>
      </c>
      <c r="S173" t="s">
        <v>1277</v>
      </c>
      <c r="T173" s="1">
        <v>43397.621562499997</v>
      </c>
      <c r="U173">
        <v>2</v>
      </c>
      <c r="V173" t="s">
        <v>47</v>
      </c>
      <c r="W173">
        <v>6</v>
      </c>
      <c r="X173" t="s">
        <v>350</v>
      </c>
      <c r="Y173">
        <v>39</v>
      </c>
      <c r="Z173">
        <v>0</v>
      </c>
      <c r="AA173" t="s">
        <v>511</v>
      </c>
      <c r="AB173">
        <v>0</v>
      </c>
      <c r="AC173" t="s">
        <v>43</v>
      </c>
      <c r="AD173">
        <v>3.46</v>
      </c>
      <c r="AE173">
        <v>4.9000000000000004</v>
      </c>
      <c r="AF173">
        <v>0</v>
      </c>
      <c r="AG173">
        <v>0</v>
      </c>
      <c r="AH173" t="s">
        <v>528</v>
      </c>
      <c r="AI173" t="s">
        <v>43</v>
      </c>
    </row>
    <row r="174" spans="1:35" x14ac:dyDescent="0.25">
      <c r="A174">
        <v>317</v>
      </c>
      <c r="B174" t="s">
        <v>529</v>
      </c>
      <c r="C174" t="s">
        <v>530</v>
      </c>
      <c r="D174">
        <v>90</v>
      </c>
      <c r="E174">
        <v>176</v>
      </c>
      <c r="F174">
        <v>55</v>
      </c>
      <c r="G174">
        <v>122</v>
      </c>
      <c r="H174">
        <v>0</v>
      </c>
      <c r="I174">
        <v>267</v>
      </c>
      <c r="J174">
        <v>0</v>
      </c>
      <c r="K174">
        <v>0</v>
      </c>
      <c r="L174">
        <v>0</v>
      </c>
      <c r="M174">
        <v>1</v>
      </c>
      <c r="N174">
        <v>36.4</v>
      </c>
      <c r="O174">
        <v>158.4</v>
      </c>
      <c r="P174">
        <v>0.36</v>
      </c>
      <c r="Q174">
        <v>1.58</v>
      </c>
      <c r="R174" t="s">
        <v>37</v>
      </c>
      <c r="S174" t="s">
        <v>1277</v>
      </c>
      <c r="T174" s="1">
        <v>43397.621562499997</v>
      </c>
      <c r="U174">
        <v>1</v>
      </c>
      <c r="V174" t="s">
        <v>44</v>
      </c>
      <c r="W174">
        <v>6</v>
      </c>
      <c r="X174" t="s">
        <v>350</v>
      </c>
      <c r="Y174">
        <v>2</v>
      </c>
      <c r="Z174">
        <v>0</v>
      </c>
      <c r="AA174" t="s">
        <v>351</v>
      </c>
      <c r="AB174">
        <v>0</v>
      </c>
      <c r="AC174" t="s">
        <v>43</v>
      </c>
      <c r="AD174">
        <v>1.22</v>
      </c>
      <c r="AE174">
        <v>1.76</v>
      </c>
      <c r="AF174">
        <v>0</v>
      </c>
      <c r="AG174">
        <v>0</v>
      </c>
      <c r="AH174" t="s">
        <v>531</v>
      </c>
    </row>
    <row r="175" spans="1:35" x14ac:dyDescent="0.25">
      <c r="A175">
        <v>318</v>
      </c>
      <c r="B175" t="s">
        <v>532</v>
      </c>
      <c r="C175" t="s">
        <v>287</v>
      </c>
      <c r="D175">
        <v>14</v>
      </c>
      <c r="E175">
        <v>11600</v>
      </c>
      <c r="F175">
        <v>6</v>
      </c>
      <c r="G175">
        <v>9145</v>
      </c>
      <c r="H175">
        <v>0</v>
      </c>
      <c r="I175">
        <v>249</v>
      </c>
      <c r="J175">
        <v>0</v>
      </c>
      <c r="K175">
        <v>1626</v>
      </c>
      <c r="L175">
        <v>1632</v>
      </c>
      <c r="M175">
        <v>1</v>
      </c>
      <c r="N175">
        <v>1295</v>
      </c>
      <c r="O175">
        <v>8808</v>
      </c>
      <c r="P175">
        <v>12.95</v>
      </c>
      <c r="Q175">
        <v>88.08</v>
      </c>
      <c r="R175" t="s">
        <v>37</v>
      </c>
      <c r="S175" t="s">
        <v>1277</v>
      </c>
      <c r="T175" s="1">
        <v>43397.621562499997</v>
      </c>
      <c r="U175">
        <v>2</v>
      </c>
      <c r="V175" t="s">
        <v>47</v>
      </c>
      <c r="W175">
        <v>7</v>
      </c>
      <c r="X175" t="s">
        <v>49</v>
      </c>
      <c r="Y175">
        <v>10</v>
      </c>
      <c r="Z175">
        <v>86</v>
      </c>
      <c r="AA175" t="s">
        <v>50</v>
      </c>
      <c r="AB175">
        <v>0</v>
      </c>
      <c r="AC175" t="s">
        <v>43</v>
      </c>
      <c r="AD175">
        <v>91.45</v>
      </c>
      <c r="AE175">
        <v>116</v>
      </c>
      <c r="AF175">
        <v>16.260000000000002</v>
      </c>
      <c r="AG175">
        <v>16.32</v>
      </c>
      <c r="AH175" t="s">
        <v>533</v>
      </c>
      <c r="AI175" t="s">
        <v>43</v>
      </c>
    </row>
    <row r="176" spans="1:35" x14ac:dyDescent="0.25">
      <c r="A176">
        <v>319</v>
      </c>
      <c r="B176" t="s">
        <v>534</v>
      </c>
      <c r="C176" t="s">
        <v>48</v>
      </c>
      <c r="D176">
        <v>24</v>
      </c>
      <c r="E176">
        <v>2182</v>
      </c>
      <c r="F176">
        <v>8</v>
      </c>
      <c r="G176">
        <v>1620</v>
      </c>
      <c r="H176">
        <v>0</v>
      </c>
      <c r="I176">
        <v>294</v>
      </c>
      <c r="J176">
        <v>0</v>
      </c>
      <c r="K176">
        <v>1626</v>
      </c>
      <c r="L176">
        <v>1632</v>
      </c>
      <c r="M176">
        <v>1</v>
      </c>
      <c r="N176">
        <v>343.8</v>
      </c>
      <c r="O176">
        <v>331.8</v>
      </c>
      <c r="P176">
        <v>3.44</v>
      </c>
      <c r="Q176">
        <v>3.32</v>
      </c>
      <c r="R176" t="s">
        <v>59</v>
      </c>
      <c r="S176" t="s">
        <v>1277</v>
      </c>
      <c r="T176" s="1">
        <v>43397.621562499997</v>
      </c>
      <c r="U176">
        <v>2</v>
      </c>
      <c r="V176" t="s">
        <v>47</v>
      </c>
      <c r="W176">
        <v>7</v>
      </c>
      <c r="X176" t="s">
        <v>49</v>
      </c>
      <c r="Y176">
        <v>10</v>
      </c>
      <c r="Z176">
        <v>87</v>
      </c>
      <c r="AA176" t="s">
        <v>50</v>
      </c>
      <c r="AB176">
        <v>0</v>
      </c>
      <c r="AC176" t="s">
        <v>43</v>
      </c>
      <c r="AD176">
        <v>16.2</v>
      </c>
      <c r="AE176">
        <v>21.82</v>
      </c>
      <c r="AF176">
        <v>16.260000000000002</v>
      </c>
      <c r="AG176">
        <v>16.32</v>
      </c>
      <c r="AH176" t="s">
        <v>535</v>
      </c>
      <c r="AI176" t="s">
        <v>43</v>
      </c>
    </row>
    <row r="177" spans="1:35" x14ac:dyDescent="0.25">
      <c r="A177">
        <v>320</v>
      </c>
      <c r="B177" t="s">
        <v>536</v>
      </c>
      <c r="C177" t="s">
        <v>48</v>
      </c>
      <c r="D177">
        <v>13</v>
      </c>
      <c r="E177">
        <v>1952</v>
      </c>
      <c r="F177">
        <v>6</v>
      </c>
      <c r="G177">
        <v>1505</v>
      </c>
      <c r="H177">
        <v>0</v>
      </c>
      <c r="I177">
        <v>306</v>
      </c>
      <c r="J177">
        <v>0</v>
      </c>
      <c r="K177">
        <v>1626</v>
      </c>
      <c r="L177">
        <v>1632</v>
      </c>
      <c r="M177">
        <v>1</v>
      </c>
      <c r="N177">
        <v>251.8</v>
      </c>
      <c r="O177">
        <v>124.8</v>
      </c>
      <c r="P177">
        <v>2.52</v>
      </c>
      <c r="Q177">
        <v>1.25</v>
      </c>
      <c r="R177" t="s">
        <v>59</v>
      </c>
      <c r="S177" t="s">
        <v>1277</v>
      </c>
      <c r="T177" s="1">
        <v>43397.621562499997</v>
      </c>
      <c r="U177">
        <v>2</v>
      </c>
      <c r="V177" t="s">
        <v>47</v>
      </c>
      <c r="W177">
        <v>7</v>
      </c>
      <c r="X177" t="s">
        <v>49</v>
      </c>
      <c r="Y177">
        <v>10</v>
      </c>
      <c r="Z177">
        <v>88</v>
      </c>
      <c r="AA177" t="s">
        <v>50</v>
      </c>
      <c r="AB177">
        <v>0</v>
      </c>
      <c r="AC177" t="s">
        <v>43</v>
      </c>
      <c r="AD177">
        <v>15.05</v>
      </c>
      <c r="AE177">
        <v>19.52</v>
      </c>
      <c r="AF177">
        <v>16.260000000000002</v>
      </c>
      <c r="AG177">
        <v>16.32</v>
      </c>
      <c r="AH177" t="s">
        <v>537</v>
      </c>
      <c r="AI177" t="s">
        <v>43</v>
      </c>
    </row>
    <row r="178" spans="1:35" x14ac:dyDescent="0.25">
      <c r="A178">
        <v>321</v>
      </c>
      <c r="B178" t="s">
        <v>538</v>
      </c>
      <c r="C178" t="s">
        <v>539</v>
      </c>
      <c r="D178">
        <v>46</v>
      </c>
      <c r="E178">
        <v>67995</v>
      </c>
      <c r="F178">
        <v>19</v>
      </c>
      <c r="G178">
        <v>63700</v>
      </c>
      <c r="H178">
        <v>0</v>
      </c>
      <c r="I178">
        <v>18</v>
      </c>
      <c r="J178">
        <v>0</v>
      </c>
      <c r="K178">
        <v>20074</v>
      </c>
      <c r="L178">
        <v>19235</v>
      </c>
      <c r="M178">
        <v>1</v>
      </c>
      <c r="N178">
        <v>-2504.5</v>
      </c>
      <c r="O178">
        <v>41960.5</v>
      </c>
      <c r="P178">
        <v>-25.05</v>
      </c>
      <c r="Q178">
        <v>419.61</v>
      </c>
      <c r="R178" t="s">
        <v>37</v>
      </c>
      <c r="S178" t="s">
        <v>1277</v>
      </c>
      <c r="T178" s="1">
        <v>43397.621562499997</v>
      </c>
      <c r="U178">
        <v>3</v>
      </c>
      <c r="V178" t="s">
        <v>38</v>
      </c>
      <c r="W178">
        <v>2</v>
      </c>
      <c r="X178" t="s">
        <v>39</v>
      </c>
      <c r="Y178">
        <v>11</v>
      </c>
      <c r="Z178">
        <v>83</v>
      </c>
      <c r="AA178" t="s">
        <v>540</v>
      </c>
      <c r="AB178">
        <v>0</v>
      </c>
      <c r="AC178" t="s">
        <v>43</v>
      </c>
      <c r="AD178">
        <v>637</v>
      </c>
      <c r="AE178">
        <v>679.95</v>
      </c>
      <c r="AF178">
        <v>200.74</v>
      </c>
      <c r="AG178">
        <v>192.35</v>
      </c>
      <c r="AH178" t="s">
        <v>541</v>
      </c>
    </row>
    <row r="179" spans="1:35" x14ac:dyDescent="0.25">
      <c r="A179">
        <v>322</v>
      </c>
      <c r="B179" t="s">
        <v>542</v>
      </c>
      <c r="C179" t="s">
        <v>543</v>
      </c>
      <c r="D179">
        <v>62</v>
      </c>
      <c r="E179">
        <v>2000</v>
      </c>
      <c r="F179">
        <v>32</v>
      </c>
      <c r="G179">
        <v>1718</v>
      </c>
      <c r="H179">
        <v>0</v>
      </c>
      <c r="I179">
        <v>182</v>
      </c>
      <c r="J179">
        <v>0</v>
      </c>
      <c r="K179">
        <v>1626</v>
      </c>
      <c r="L179">
        <v>1632</v>
      </c>
      <c r="M179">
        <v>1</v>
      </c>
      <c r="N179">
        <v>82</v>
      </c>
      <c r="O179">
        <v>168</v>
      </c>
      <c r="P179">
        <v>0.82</v>
      </c>
      <c r="Q179">
        <v>1.68</v>
      </c>
      <c r="R179" t="s">
        <v>37</v>
      </c>
      <c r="S179" t="s">
        <v>1277</v>
      </c>
      <c r="T179" s="1">
        <v>43397.621562499997</v>
      </c>
      <c r="U179">
        <v>2</v>
      </c>
      <c r="V179" t="s">
        <v>47</v>
      </c>
      <c r="W179">
        <v>6</v>
      </c>
      <c r="X179" t="s">
        <v>350</v>
      </c>
      <c r="Y179">
        <v>2</v>
      </c>
      <c r="Z179">
        <v>89</v>
      </c>
      <c r="AA179" t="s">
        <v>351</v>
      </c>
      <c r="AB179">
        <v>0</v>
      </c>
      <c r="AC179" t="s">
        <v>43</v>
      </c>
      <c r="AD179">
        <v>17.18</v>
      </c>
      <c r="AE179">
        <v>20</v>
      </c>
      <c r="AF179">
        <v>16.260000000000002</v>
      </c>
      <c r="AG179">
        <v>16.32</v>
      </c>
      <c r="AH179" t="s">
        <v>544</v>
      </c>
    </row>
    <row r="180" spans="1:35" x14ac:dyDescent="0.25">
      <c r="A180">
        <v>323</v>
      </c>
      <c r="B180" t="s">
        <v>545</v>
      </c>
      <c r="C180" t="s">
        <v>546</v>
      </c>
      <c r="D180">
        <v>15</v>
      </c>
      <c r="E180">
        <v>15996</v>
      </c>
      <c r="F180">
        <v>3</v>
      </c>
      <c r="G180">
        <v>13354</v>
      </c>
      <c r="H180">
        <v>0</v>
      </c>
      <c r="I180">
        <v>250</v>
      </c>
      <c r="J180">
        <v>0</v>
      </c>
      <c r="K180">
        <v>1626</v>
      </c>
      <c r="L180">
        <v>1632</v>
      </c>
      <c r="M180">
        <v>1</v>
      </c>
      <c r="N180">
        <v>1042.4000000000001</v>
      </c>
      <c r="O180">
        <v>12764.4</v>
      </c>
      <c r="P180">
        <v>10.42</v>
      </c>
      <c r="Q180">
        <v>127.64</v>
      </c>
      <c r="R180" t="s">
        <v>37</v>
      </c>
      <c r="S180" t="s">
        <v>1277</v>
      </c>
      <c r="T180" s="1">
        <v>43397.621562499997</v>
      </c>
      <c r="U180">
        <v>2</v>
      </c>
      <c r="V180" t="s">
        <v>47</v>
      </c>
      <c r="W180">
        <v>6</v>
      </c>
      <c r="X180" t="s">
        <v>350</v>
      </c>
      <c r="Y180">
        <v>38</v>
      </c>
      <c r="Z180">
        <v>90</v>
      </c>
      <c r="AA180" t="s">
        <v>547</v>
      </c>
      <c r="AB180">
        <v>0</v>
      </c>
      <c r="AC180" t="s">
        <v>43</v>
      </c>
      <c r="AD180">
        <v>133.54</v>
      </c>
      <c r="AE180">
        <v>159.96</v>
      </c>
      <c r="AF180">
        <v>16.260000000000002</v>
      </c>
      <c r="AG180">
        <v>16.32</v>
      </c>
      <c r="AH180" t="s">
        <v>548</v>
      </c>
    </row>
    <row r="181" spans="1:35" x14ac:dyDescent="0.25">
      <c r="A181">
        <v>324</v>
      </c>
      <c r="B181" t="s">
        <v>549</v>
      </c>
      <c r="C181" t="s">
        <v>48</v>
      </c>
      <c r="D181">
        <v>18</v>
      </c>
      <c r="E181">
        <v>1448</v>
      </c>
      <c r="F181">
        <v>19</v>
      </c>
      <c r="G181">
        <v>830</v>
      </c>
      <c r="H181">
        <v>0</v>
      </c>
      <c r="I181">
        <v>343</v>
      </c>
      <c r="J181">
        <v>0</v>
      </c>
      <c r="K181">
        <v>1626</v>
      </c>
      <c r="L181">
        <v>1632</v>
      </c>
      <c r="M181">
        <v>1</v>
      </c>
      <c r="N181">
        <v>473.2</v>
      </c>
      <c r="O181">
        <v>-328.8</v>
      </c>
      <c r="P181">
        <v>4.7300000000000004</v>
      </c>
      <c r="Q181">
        <v>-3.29</v>
      </c>
      <c r="R181" t="s">
        <v>59</v>
      </c>
      <c r="S181" t="s">
        <v>1277</v>
      </c>
      <c r="T181" s="1">
        <v>43397.621562499997</v>
      </c>
      <c r="U181">
        <v>2</v>
      </c>
      <c r="V181" t="s">
        <v>47</v>
      </c>
      <c r="W181">
        <v>7</v>
      </c>
      <c r="X181" t="s">
        <v>49</v>
      </c>
      <c r="Y181">
        <v>10</v>
      </c>
      <c r="Z181">
        <v>91</v>
      </c>
      <c r="AA181" t="s">
        <v>50</v>
      </c>
      <c r="AB181">
        <v>0</v>
      </c>
      <c r="AC181" t="s">
        <v>43</v>
      </c>
      <c r="AD181">
        <v>8.3000000000000007</v>
      </c>
      <c r="AE181">
        <v>14.48</v>
      </c>
      <c r="AF181">
        <v>16.260000000000002</v>
      </c>
      <c r="AG181">
        <v>16.32</v>
      </c>
      <c r="AH181" t="s">
        <v>550</v>
      </c>
      <c r="AI181" t="s">
        <v>43</v>
      </c>
    </row>
    <row r="182" spans="1:35" x14ac:dyDescent="0.25">
      <c r="A182">
        <v>325</v>
      </c>
      <c r="B182" t="s">
        <v>551</v>
      </c>
      <c r="C182" t="s">
        <v>552</v>
      </c>
      <c r="D182">
        <v>11</v>
      </c>
      <c r="E182">
        <v>1769</v>
      </c>
      <c r="F182">
        <v>19</v>
      </c>
      <c r="G182">
        <v>1201</v>
      </c>
      <c r="H182">
        <v>0</v>
      </c>
      <c r="I182">
        <v>341</v>
      </c>
      <c r="J182">
        <v>0</v>
      </c>
      <c r="K182">
        <v>1626</v>
      </c>
      <c r="L182">
        <v>1632</v>
      </c>
      <c r="M182">
        <v>1</v>
      </c>
      <c r="N182">
        <v>391.1</v>
      </c>
      <c r="O182">
        <v>-39.9</v>
      </c>
      <c r="P182">
        <v>3.91</v>
      </c>
      <c r="Q182">
        <v>-0.4</v>
      </c>
      <c r="R182" t="s">
        <v>59</v>
      </c>
      <c r="S182" t="s">
        <v>1277</v>
      </c>
      <c r="T182" s="1">
        <v>43397.621562499997</v>
      </c>
      <c r="U182">
        <v>2</v>
      </c>
      <c r="V182" t="s">
        <v>47</v>
      </c>
      <c r="W182">
        <v>6</v>
      </c>
      <c r="X182" t="s">
        <v>350</v>
      </c>
      <c r="Y182">
        <v>2</v>
      </c>
      <c r="Z182">
        <v>92</v>
      </c>
      <c r="AA182" t="s">
        <v>351</v>
      </c>
      <c r="AB182">
        <v>0</v>
      </c>
      <c r="AC182" t="s">
        <v>43</v>
      </c>
      <c r="AD182">
        <v>12.01</v>
      </c>
      <c r="AE182">
        <v>17.690000000000001</v>
      </c>
      <c r="AF182">
        <v>16.260000000000002</v>
      </c>
      <c r="AG182">
        <v>16.32</v>
      </c>
      <c r="AH182" t="s">
        <v>553</v>
      </c>
    </row>
    <row r="183" spans="1:35" x14ac:dyDescent="0.25">
      <c r="A183">
        <v>326</v>
      </c>
      <c r="B183" t="s">
        <v>554</v>
      </c>
      <c r="C183" t="s">
        <v>555</v>
      </c>
      <c r="D183">
        <v>64</v>
      </c>
      <c r="E183">
        <v>1350</v>
      </c>
      <c r="F183">
        <v>27</v>
      </c>
      <c r="G183">
        <v>1015</v>
      </c>
      <c r="H183">
        <v>0</v>
      </c>
      <c r="I183">
        <v>135</v>
      </c>
      <c r="J183">
        <v>0</v>
      </c>
      <c r="K183">
        <v>1626</v>
      </c>
      <c r="L183">
        <v>1632</v>
      </c>
      <c r="M183">
        <v>1</v>
      </c>
      <c r="N183">
        <v>200</v>
      </c>
      <c r="O183">
        <v>-417</v>
      </c>
      <c r="P183">
        <v>2</v>
      </c>
      <c r="Q183">
        <v>-4.17</v>
      </c>
      <c r="R183" t="s">
        <v>59</v>
      </c>
      <c r="S183" t="s">
        <v>1277</v>
      </c>
      <c r="T183" s="1">
        <v>43397.621562499997</v>
      </c>
      <c r="U183">
        <v>2</v>
      </c>
      <c r="V183" t="s">
        <v>47</v>
      </c>
      <c r="W183">
        <v>4</v>
      </c>
      <c r="X183" t="s">
        <v>114</v>
      </c>
      <c r="Y183">
        <v>35</v>
      </c>
      <c r="Z183">
        <v>84</v>
      </c>
      <c r="AA183" t="s">
        <v>165</v>
      </c>
      <c r="AB183">
        <v>0</v>
      </c>
      <c r="AC183" t="s">
        <v>43</v>
      </c>
      <c r="AD183">
        <v>10.15</v>
      </c>
      <c r="AE183">
        <v>13.5</v>
      </c>
      <c r="AF183">
        <v>16.260000000000002</v>
      </c>
      <c r="AG183">
        <v>16.32</v>
      </c>
      <c r="AH183" t="s">
        <v>556</v>
      </c>
    </row>
    <row r="184" spans="1:35" x14ac:dyDescent="0.25">
      <c r="A184">
        <v>327</v>
      </c>
      <c r="B184" t="s">
        <v>557</v>
      </c>
      <c r="C184" t="s">
        <v>555</v>
      </c>
      <c r="D184">
        <v>34</v>
      </c>
      <c r="E184">
        <v>2548</v>
      </c>
      <c r="F184">
        <v>4</v>
      </c>
      <c r="G184">
        <v>2031</v>
      </c>
      <c r="H184">
        <v>0</v>
      </c>
      <c r="I184">
        <v>150</v>
      </c>
      <c r="J184">
        <v>0</v>
      </c>
      <c r="K184">
        <v>1626</v>
      </c>
      <c r="L184">
        <v>1632</v>
      </c>
      <c r="M184">
        <v>1</v>
      </c>
      <c r="N184">
        <v>262.2</v>
      </c>
      <c r="O184">
        <v>661.2</v>
      </c>
      <c r="P184">
        <v>2.62</v>
      </c>
      <c r="Q184">
        <v>6.61</v>
      </c>
      <c r="R184" t="s">
        <v>37</v>
      </c>
      <c r="S184" t="s">
        <v>1277</v>
      </c>
      <c r="T184" s="1">
        <v>43397.621562499997</v>
      </c>
      <c r="U184">
        <v>2</v>
      </c>
      <c r="V184" t="s">
        <v>47</v>
      </c>
      <c r="W184">
        <v>4</v>
      </c>
      <c r="X184" t="s">
        <v>114</v>
      </c>
      <c r="Y184">
        <v>35</v>
      </c>
      <c r="Z184">
        <v>85</v>
      </c>
      <c r="AA184" t="s">
        <v>165</v>
      </c>
      <c r="AB184">
        <v>0</v>
      </c>
      <c r="AC184" t="s">
        <v>43</v>
      </c>
      <c r="AD184">
        <v>20.309999999999999</v>
      </c>
      <c r="AE184">
        <v>25.48</v>
      </c>
      <c r="AF184">
        <v>16.260000000000002</v>
      </c>
      <c r="AG184">
        <v>16.32</v>
      </c>
      <c r="AH184" t="s">
        <v>558</v>
      </c>
    </row>
    <row r="185" spans="1:35" x14ac:dyDescent="0.25">
      <c r="A185">
        <v>335</v>
      </c>
      <c r="B185" t="s">
        <v>559</v>
      </c>
      <c r="C185" t="s">
        <v>43</v>
      </c>
      <c r="D185">
        <v>134</v>
      </c>
      <c r="E185">
        <v>67700</v>
      </c>
      <c r="F185">
        <v>44</v>
      </c>
      <c r="G185">
        <v>66000</v>
      </c>
      <c r="H185">
        <v>0</v>
      </c>
      <c r="I185">
        <v>57</v>
      </c>
      <c r="J185">
        <v>0</v>
      </c>
      <c r="K185">
        <v>0</v>
      </c>
      <c r="L185">
        <v>0</v>
      </c>
      <c r="M185">
        <v>10</v>
      </c>
      <c r="N185">
        <v>-5070</v>
      </c>
      <c r="O185">
        <v>60930</v>
      </c>
      <c r="P185">
        <v>-50.7</v>
      </c>
      <c r="Q185">
        <v>609.29999999999995</v>
      </c>
      <c r="R185" t="s">
        <v>37</v>
      </c>
      <c r="S185" t="s">
        <v>1277</v>
      </c>
      <c r="T185" s="1">
        <v>43397.621562499997</v>
      </c>
      <c r="U185">
        <v>1</v>
      </c>
      <c r="V185" t="s">
        <v>44</v>
      </c>
      <c r="W185">
        <v>8</v>
      </c>
      <c r="X185" t="s">
        <v>118</v>
      </c>
      <c r="Y185">
        <v>25</v>
      </c>
      <c r="Z185">
        <v>0</v>
      </c>
      <c r="AA185" t="s">
        <v>119</v>
      </c>
      <c r="AB185">
        <v>0</v>
      </c>
      <c r="AC185" t="s">
        <v>43</v>
      </c>
      <c r="AD185">
        <v>660</v>
      </c>
      <c r="AE185">
        <v>677</v>
      </c>
      <c r="AF185">
        <v>0</v>
      </c>
      <c r="AG185">
        <v>0</v>
      </c>
      <c r="AH185" t="s">
        <v>560</v>
      </c>
      <c r="AI185" t="s">
        <v>43</v>
      </c>
    </row>
    <row r="186" spans="1:35" x14ac:dyDescent="0.25">
      <c r="A186">
        <v>337</v>
      </c>
      <c r="B186" t="s">
        <v>561</v>
      </c>
      <c r="C186" t="s">
        <v>43</v>
      </c>
      <c r="D186">
        <v>18</v>
      </c>
      <c r="E186">
        <v>772500</v>
      </c>
      <c r="F186">
        <v>28</v>
      </c>
      <c r="G186">
        <v>615001</v>
      </c>
      <c r="H186">
        <v>0</v>
      </c>
      <c r="I186">
        <v>164</v>
      </c>
      <c r="J186">
        <v>0</v>
      </c>
      <c r="K186">
        <v>0</v>
      </c>
      <c r="L186">
        <v>0</v>
      </c>
      <c r="M186">
        <v>100</v>
      </c>
      <c r="N186">
        <v>80249</v>
      </c>
      <c r="O186">
        <v>695250</v>
      </c>
      <c r="P186">
        <v>802.49</v>
      </c>
      <c r="Q186">
        <v>6952.5</v>
      </c>
      <c r="R186" t="s">
        <v>37</v>
      </c>
      <c r="S186" t="s">
        <v>1277</v>
      </c>
      <c r="T186" s="1">
        <v>43397.621562499997</v>
      </c>
      <c r="U186">
        <v>1</v>
      </c>
      <c r="V186" t="s">
        <v>44</v>
      </c>
      <c r="W186">
        <v>8</v>
      </c>
      <c r="X186" t="s">
        <v>118</v>
      </c>
      <c r="Y186">
        <v>25</v>
      </c>
      <c r="Z186">
        <v>0</v>
      </c>
      <c r="AA186" t="s">
        <v>119</v>
      </c>
      <c r="AB186">
        <v>0</v>
      </c>
      <c r="AC186" t="s">
        <v>43</v>
      </c>
      <c r="AD186">
        <v>6150.01</v>
      </c>
      <c r="AE186">
        <v>7725</v>
      </c>
      <c r="AF186">
        <v>0</v>
      </c>
      <c r="AG186">
        <v>0</v>
      </c>
      <c r="AH186" t="s">
        <v>562</v>
      </c>
      <c r="AI186" t="s">
        <v>43</v>
      </c>
    </row>
    <row r="187" spans="1:35" x14ac:dyDescent="0.25">
      <c r="A187">
        <v>341</v>
      </c>
      <c r="B187" t="s">
        <v>563</v>
      </c>
      <c r="C187" t="s">
        <v>564</v>
      </c>
      <c r="D187">
        <v>5</v>
      </c>
      <c r="E187">
        <v>5298800</v>
      </c>
      <c r="F187">
        <v>9</v>
      </c>
      <c r="G187">
        <v>4330000</v>
      </c>
      <c r="H187">
        <v>0</v>
      </c>
      <c r="I187">
        <v>169</v>
      </c>
      <c r="J187">
        <v>0</v>
      </c>
      <c r="K187">
        <v>5153098</v>
      </c>
      <c r="L187">
        <v>4172106</v>
      </c>
      <c r="M187">
        <v>1</v>
      </c>
      <c r="N187">
        <v>438920</v>
      </c>
      <c r="O187">
        <v>596814</v>
      </c>
      <c r="P187">
        <v>4389.2</v>
      </c>
      <c r="Q187">
        <v>5968.14</v>
      </c>
      <c r="R187" t="s">
        <v>37</v>
      </c>
      <c r="S187" t="s">
        <v>1277</v>
      </c>
      <c r="T187" s="1">
        <v>43397.621562499997</v>
      </c>
      <c r="U187">
        <v>5</v>
      </c>
      <c r="V187" t="s">
        <v>140</v>
      </c>
      <c r="W187">
        <v>2</v>
      </c>
      <c r="X187" t="s">
        <v>39</v>
      </c>
      <c r="Y187">
        <v>37</v>
      </c>
      <c r="Z187">
        <v>93</v>
      </c>
      <c r="AA187" t="s">
        <v>565</v>
      </c>
      <c r="AB187">
        <v>1</v>
      </c>
      <c r="AC187" t="s">
        <v>60</v>
      </c>
      <c r="AD187">
        <v>43300</v>
      </c>
      <c r="AE187">
        <v>52988</v>
      </c>
      <c r="AF187">
        <v>51530.98</v>
      </c>
      <c r="AG187">
        <v>41721.06</v>
      </c>
      <c r="AH187" t="s">
        <v>566</v>
      </c>
    </row>
    <row r="188" spans="1:35" x14ac:dyDescent="0.25">
      <c r="A188">
        <v>342</v>
      </c>
      <c r="B188" s="2" t="s">
        <v>567</v>
      </c>
      <c r="C188" t="s">
        <v>43</v>
      </c>
      <c r="D188">
        <v>8</v>
      </c>
      <c r="E188">
        <v>9874</v>
      </c>
      <c r="F188">
        <v>17</v>
      </c>
      <c r="G188">
        <v>6137</v>
      </c>
      <c r="H188">
        <v>0</v>
      </c>
      <c r="I188">
        <v>279</v>
      </c>
      <c r="J188">
        <v>0</v>
      </c>
      <c r="K188">
        <v>0</v>
      </c>
      <c r="L188">
        <v>0</v>
      </c>
      <c r="M188">
        <v>1</v>
      </c>
      <c r="N188">
        <v>2749.6</v>
      </c>
      <c r="O188">
        <v>8886.6</v>
      </c>
      <c r="P188">
        <v>27.5</v>
      </c>
      <c r="Q188">
        <v>88.87</v>
      </c>
      <c r="R188" t="s">
        <v>37</v>
      </c>
      <c r="S188" t="s">
        <v>1277</v>
      </c>
      <c r="T188" s="1">
        <v>43397.621562499997</v>
      </c>
      <c r="U188">
        <v>3</v>
      </c>
      <c r="V188" t="s">
        <v>38</v>
      </c>
      <c r="W188">
        <v>6</v>
      </c>
      <c r="X188" t="s">
        <v>350</v>
      </c>
      <c r="Y188">
        <v>38</v>
      </c>
      <c r="Z188">
        <v>0</v>
      </c>
      <c r="AA188" t="s">
        <v>547</v>
      </c>
      <c r="AB188">
        <v>0</v>
      </c>
      <c r="AC188" t="s">
        <v>43</v>
      </c>
      <c r="AD188">
        <v>61.37</v>
      </c>
      <c r="AE188">
        <v>98.74</v>
      </c>
      <c r="AF188">
        <v>0</v>
      </c>
      <c r="AG188">
        <v>0</v>
      </c>
      <c r="AH188" t="s">
        <v>568</v>
      </c>
      <c r="AI188" t="s">
        <v>43</v>
      </c>
    </row>
    <row r="189" spans="1:35" x14ac:dyDescent="0.25">
      <c r="A189">
        <v>344</v>
      </c>
      <c r="B189" s="2" t="s">
        <v>569</v>
      </c>
      <c r="C189" t="s">
        <v>43</v>
      </c>
      <c r="D189">
        <v>2</v>
      </c>
      <c r="E189">
        <v>340000</v>
      </c>
      <c r="F189">
        <v>3</v>
      </c>
      <c r="G189">
        <v>220035</v>
      </c>
      <c r="H189">
        <v>0</v>
      </c>
      <c r="I189">
        <v>243</v>
      </c>
      <c r="J189">
        <v>0</v>
      </c>
      <c r="K189">
        <v>0</v>
      </c>
      <c r="L189">
        <v>0</v>
      </c>
      <c r="M189">
        <v>1</v>
      </c>
      <c r="N189">
        <v>85965</v>
      </c>
      <c r="O189">
        <v>306000</v>
      </c>
      <c r="P189">
        <v>859.65</v>
      </c>
      <c r="Q189">
        <v>3060</v>
      </c>
      <c r="R189" t="s">
        <v>37</v>
      </c>
      <c r="S189" t="s">
        <v>1277</v>
      </c>
      <c r="T189" s="1">
        <v>43397.621562499997</v>
      </c>
      <c r="U189">
        <v>4</v>
      </c>
      <c r="V189" t="s">
        <v>55</v>
      </c>
      <c r="W189">
        <v>6</v>
      </c>
      <c r="X189" t="s">
        <v>350</v>
      </c>
      <c r="Y189">
        <v>38</v>
      </c>
      <c r="Z189">
        <v>0</v>
      </c>
      <c r="AA189" t="s">
        <v>547</v>
      </c>
      <c r="AB189">
        <v>0</v>
      </c>
      <c r="AC189" t="s">
        <v>43</v>
      </c>
      <c r="AD189">
        <v>2200.35</v>
      </c>
      <c r="AE189">
        <v>3400</v>
      </c>
      <c r="AF189">
        <v>0</v>
      </c>
      <c r="AG189">
        <v>0</v>
      </c>
      <c r="AH189" t="s">
        <v>570</v>
      </c>
      <c r="AI189" t="s">
        <v>43</v>
      </c>
    </row>
    <row r="190" spans="1:35" x14ac:dyDescent="0.25">
      <c r="A190">
        <v>345</v>
      </c>
      <c r="B190" s="2" t="s">
        <v>571</v>
      </c>
      <c r="C190" t="s">
        <v>43</v>
      </c>
      <c r="D190">
        <v>8</v>
      </c>
      <c r="E190">
        <v>139900</v>
      </c>
      <c r="F190">
        <v>4</v>
      </c>
      <c r="G190">
        <v>105011</v>
      </c>
      <c r="H190">
        <v>0</v>
      </c>
      <c r="I190">
        <v>213</v>
      </c>
      <c r="J190">
        <v>0</v>
      </c>
      <c r="K190">
        <v>0</v>
      </c>
      <c r="L190">
        <v>0</v>
      </c>
      <c r="M190">
        <v>1</v>
      </c>
      <c r="N190">
        <v>20899</v>
      </c>
      <c r="O190">
        <v>125910</v>
      </c>
      <c r="P190">
        <v>208.99</v>
      </c>
      <c r="Q190">
        <v>1259.0999999999999</v>
      </c>
      <c r="R190" t="s">
        <v>37</v>
      </c>
      <c r="S190" t="s">
        <v>1277</v>
      </c>
      <c r="T190" s="1">
        <v>43397.621562499997</v>
      </c>
      <c r="U190">
        <v>4</v>
      </c>
      <c r="V190" t="s">
        <v>55</v>
      </c>
      <c r="W190">
        <v>6</v>
      </c>
      <c r="X190" t="s">
        <v>350</v>
      </c>
      <c r="Y190">
        <v>38</v>
      </c>
      <c r="Z190">
        <v>0</v>
      </c>
      <c r="AA190" t="s">
        <v>547</v>
      </c>
      <c r="AB190">
        <v>0</v>
      </c>
      <c r="AC190" t="s">
        <v>43</v>
      </c>
      <c r="AD190">
        <v>1050.1099999999999</v>
      </c>
      <c r="AE190">
        <v>1399</v>
      </c>
      <c r="AF190">
        <v>0</v>
      </c>
      <c r="AG190">
        <v>0</v>
      </c>
      <c r="AH190" t="s">
        <v>572</v>
      </c>
      <c r="AI190" t="s">
        <v>43</v>
      </c>
    </row>
    <row r="191" spans="1:35" x14ac:dyDescent="0.25">
      <c r="A191">
        <v>346</v>
      </c>
      <c r="B191" s="2" t="s">
        <v>573</v>
      </c>
      <c r="C191" t="s">
        <v>43</v>
      </c>
      <c r="D191">
        <v>22</v>
      </c>
      <c r="E191">
        <v>16903</v>
      </c>
      <c r="F191">
        <v>14</v>
      </c>
      <c r="G191">
        <v>13503</v>
      </c>
      <c r="H191">
        <v>0</v>
      </c>
      <c r="I191">
        <v>230</v>
      </c>
      <c r="J191">
        <v>0</v>
      </c>
      <c r="K191">
        <v>0</v>
      </c>
      <c r="L191">
        <v>0</v>
      </c>
      <c r="M191">
        <v>1</v>
      </c>
      <c r="N191">
        <v>1709.7</v>
      </c>
      <c r="O191">
        <v>15212.7</v>
      </c>
      <c r="P191">
        <v>17.100000000000001</v>
      </c>
      <c r="Q191">
        <v>152.13</v>
      </c>
      <c r="R191" t="s">
        <v>37</v>
      </c>
      <c r="S191" t="s">
        <v>1277</v>
      </c>
      <c r="T191" s="1">
        <v>43397.621562499997</v>
      </c>
      <c r="U191">
        <v>3</v>
      </c>
      <c r="V191" t="s">
        <v>38</v>
      </c>
      <c r="W191">
        <v>6</v>
      </c>
      <c r="X191" t="s">
        <v>350</v>
      </c>
      <c r="Y191">
        <v>38</v>
      </c>
      <c r="Z191">
        <v>0</v>
      </c>
      <c r="AA191" t="s">
        <v>547</v>
      </c>
      <c r="AB191">
        <v>0</v>
      </c>
      <c r="AC191" t="s">
        <v>43</v>
      </c>
      <c r="AD191">
        <v>135.03</v>
      </c>
      <c r="AE191">
        <v>169.03</v>
      </c>
      <c r="AF191">
        <v>0</v>
      </c>
      <c r="AG191">
        <v>0</v>
      </c>
      <c r="AH191" t="s">
        <v>574</v>
      </c>
      <c r="AI191" t="s">
        <v>43</v>
      </c>
    </row>
    <row r="192" spans="1:35" x14ac:dyDescent="0.25">
      <c r="A192">
        <v>347</v>
      </c>
      <c r="B192" s="2" t="s">
        <v>575</v>
      </c>
      <c r="C192" t="s">
        <v>43</v>
      </c>
      <c r="D192">
        <v>16</v>
      </c>
      <c r="E192">
        <v>8980</v>
      </c>
      <c r="F192">
        <v>23</v>
      </c>
      <c r="G192">
        <v>6807</v>
      </c>
      <c r="H192">
        <v>0</v>
      </c>
      <c r="I192">
        <v>307</v>
      </c>
      <c r="J192">
        <v>0</v>
      </c>
      <c r="K192">
        <v>0</v>
      </c>
      <c r="L192">
        <v>0</v>
      </c>
      <c r="M192">
        <v>1</v>
      </c>
      <c r="N192">
        <v>1275</v>
      </c>
      <c r="O192">
        <v>8082</v>
      </c>
      <c r="P192">
        <v>12.75</v>
      </c>
      <c r="Q192">
        <v>80.819999999999993</v>
      </c>
      <c r="R192" t="s">
        <v>37</v>
      </c>
      <c r="S192" t="s">
        <v>1277</v>
      </c>
      <c r="T192" s="1">
        <v>43397.621562499997</v>
      </c>
      <c r="U192">
        <v>3</v>
      </c>
      <c r="V192" t="s">
        <v>38</v>
      </c>
      <c r="W192">
        <v>6</v>
      </c>
      <c r="X192" t="s">
        <v>350</v>
      </c>
      <c r="Y192">
        <v>38</v>
      </c>
      <c r="Z192">
        <v>0</v>
      </c>
      <c r="AA192" t="s">
        <v>547</v>
      </c>
      <c r="AB192">
        <v>0</v>
      </c>
      <c r="AC192" t="s">
        <v>43</v>
      </c>
      <c r="AD192">
        <v>68.069999999999993</v>
      </c>
      <c r="AE192">
        <v>89.8</v>
      </c>
      <c r="AF192">
        <v>0</v>
      </c>
      <c r="AG192">
        <v>0</v>
      </c>
      <c r="AH192" t="s">
        <v>576</v>
      </c>
      <c r="AI192" t="s">
        <v>43</v>
      </c>
    </row>
    <row r="193" spans="1:35" x14ac:dyDescent="0.25">
      <c r="A193">
        <v>348</v>
      </c>
      <c r="B193" s="2" t="s">
        <v>577</v>
      </c>
      <c r="C193" t="s">
        <v>43</v>
      </c>
      <c r="D193">
        <v>14</v>
      </c>
      <c r="E193">
        <v>30099</v>
      </c>
      <c r="F193">
        <v>6</v>
      </c>
      <c r="G193">
        <v>25000</v>
      </c>
      <c r="H193">
        <v>0</v>
      </c>
      <c r="I193">
        <v>212</v>
      </c>
      <c r="J193">
        <v>0</v>
      </c>
      <c r="K193">
        <v>0</v>
      </c>
      <c r="L193">
        <v>0</v>
      </c>
      <c r="M193">
        <v>1</v>
      </c>
      <c r="N193">
        <v>2089.1</v>
      </c>
      <c r="O193">
        <v>27089.1</v>
      </c>
      <c r="P193">
        <v>20.89</v>
      </c>
      <c r="Q193">
        <v>270.89</v>
      </c>
      <c r="R193" t="s">
        <v>37</v>
      </c>
      <c r="S193" t="s">
        <v>1277</v>
      </c>
      <c r="T193" s="1">
        <v>43397.621562499997</v>
      </c>
      <c r="U193">
        <v>3</v>
      </c>
      <c r="V193" t="s">
        <v>38</v>
      </c>
      <c r="W193">
        <v>6</v>
      </c>
      <c r="X193" t="s">
        <v>350</v>
      </c>
      <c r="Y193">
        <v>38</v>
      </c>
      <c r="Z193">
        <v>0</v>
      </c>
      <c r="AA193" t="s">
        <v>547</v>
      </c>
      <c r="AB193">
        <v>0</v>
      </c>
      <c r="AC193" t="s">
        <v>43</v>
      </c>
      <c r="AD193">
        <v>250</v>
      </c>
      <c r="AE193">
        <v>300.99</v>
      </c>
      <c r="AF193">
        <v>0</v>
      </c>
      <c r="AG193">
        <v>0</v>
      </c>
      <c r="AH193" t="s">
        <v>578</v>
      </c>
      <c r="AI193" t="s">
        <v>43</v>
      </c>
    </row>
    <row r="194" spans="1:35" x14ac:dyDescent="0.25">
      <c r="A194">
        <v>353</v>
      </c>
      <c r="B194" t="s">
        <v>579</v>
      </c>
      <c r="C194" t="s">
        <v>580</v>
      </c>
      <c r="D194">
        <v>5</v>
      </c>
      <c r="E194">
        <v>69180</v>
      </c>
      <c r="F194">
        <v>6</v>
      </c>
      <c r="G194">
        <v>51000</v>
      </c>
      <c r="H194">
        <v>0</v>
      </c>
      <c r="I194">
        <v>259</v>
      </c>
      <c r="J194">
        <v>0</v>
      </c>
      <c r="K194">
        <v>0</v>
      </c>
      <c r="L194">
        <v>0</v>
      </c>
      <c r="M194">
        <v>1</v>
      </c>
      <c r="N194">
        <v>11262</v>
      </c>
      <c r="O194">
        <v>62262</v>
      </c>
      <c r="P194">
        <v>112.62</v>
      </c>
      <c r="Q194">
        <v>622.62</v>
      </c>
      <c r="R194" t="s">
        <v>37</v>
      </c>
      <c r="S194" t="s">
        <v>1277</v>
      </c>
      <c r="T194" s="1">
        <v>43397.621562499997</v>
      </c>
      <c r="U194">
        <v>4</v>
      </c>
      <c r="V194" t="s">
        <v>55</v>
      </c>
      <c r="W194">
        <v>6</v>
      </c>
      <c r="X194" t="s">
        <v>350</v>
      </c>
      <c r="Y194">
        <v>38</v>
      </c>
      <c r="Z194">
        <v>0</v>
      </c>
      <c r="AA194" t="s">
        <v>547</v>
      </c>
      <c r="AB194">
        <v>0</v>
      </c>
      <c r="AC194" t="s">
        <v>43</v>
      </c>
      <c r="AD194">
        <v>510</v>
      </c>
      <c r="AE194">
        <v>691.8</v>
      </c>
      <c r="AF194">
        <v>0</v>
      </c>
      <c r="AG194">
        <v>0</v>
      </c>
      <c r="AH194" t="s">
        <v>581</v>
      </c>
    </row>
    <row r="195" spans="1:35" x14ac:dyDescent="0.25">
      <c r="A195">
        <v>356</v>
      </c>
      <c r="B195" s="2" t="s">
        <v>582</v>
      </c>
      <c r="C195" t="s">
        <v>43</v>
      </c>
      <c r="D195">
        <v>8</v>
      </c>
      <c r="E195">
        <v>110942</v>
      </c>
      <c r="F195">
        <v>3</v>
      </c>
      <c r="G195">
        <v>81500</v>
      </c>
      <c r="H195">
        <v>0</v>
      </c>
      <c r="I195">
        <v>225</v>
      </c>
      <c r="J195">
        <v>0</v>
      </c>
      <c r="K195">
        <v>0</v>
      </c>
      <c r="L195">
        <v>0</v>
      </c>
      <c r="M195">
        <v>1</v>
      </c>
      <c r="N195">
        <v>18347.8</v>
      </c>
      <c r="O195">
        <v>99847.8</v>
      </c>
      <c r="P195">
        <v>183.48</v>
      </c>
      <c r="Q195">
        <v>998.48</v>
      </c>
      <c r="R195" t="s">
        <v>37</v>
      </c>
      <c r="S195" t="s">
        <v>1277</v>
      </c>
      <c r="T195" s="1">
        <v>43397.621562499997</v>
      </c>
      <c r="U195">
        <v>4</v>
      </c>
      <c r="V195" t="s">
        <v>55</v>
      </c>
      <c r="W195">
        <v>6</v>
      </c>
      <c r="X195" t="s">
        <v>350</v>
      </c>
      <c r="Y195">
        <v>38</v>
      </c>
      <c r="Z195">
        <v>0</v>
      </c>
      <c r="AA195" t="s">
        <v>547</v>
      </c>
      <c r="AB195">
        <v>0</v>
      </c>
      <c r="AC195" t="s">
        <v>43</v>
      </c>
      <c r="AD195">
        <v>815</v>
      </c>
      <c r="AE195">
        <v>1109.42</v>
      </c>
      <c r="AF195">
        <v>0</v>
      </c>
      <c r="AG195">
        <v>0</v>
      </c>
      <c r="AH195" t="s">
        <v>583</v>
      </c>
      <c r="AI195" t="s">
        <v>43</v>
      </c>
    </row>
    <row r="196" spans="1:35" x14ac:dyDescent="0.25">
      <c r="A196">
        <v>362</v>
      </c>
      <c r="B196" s="2" t="s">
        <v>584</v>
      </c>
      <c r="C196" t="s">
        <v>43</v>
      </c>
      <c r="D196">
        <v>5</v>
      </c>
      <c r="E196">
        <v>59000</v>
      </c>
      <c r="F196">
        <v>6</v>
      </c>
      <c r="G196">
        <v>42111</v>
      </c>
      <c r="H196">
        <v>0</v>
      </c>
      <c r="I196">
        <v>255</v>
      </c>
      <c r="J196">
        <v>0</v>
      </c>
      <c r="K196">
        <v>0</v>
      </c>
      <c r="L196">
        <v>0</v>
      </c>
      <c r="M196">
        <v>1</v>
      </c>
      <c r="N196">
        <v>10989</v>
      </c>
      <c r="O196">
        <v>53100</v>
      </c>
      <c r="P196">
        <v>109.89</v>
      </c>
      <c r="Q196">
        <v>531</v>
      </c>
      <c r="R196" t="s">
        <v>37</v>
      </c>
      <c r="S196" t="s">
        <v>1277</v>
      </c>
      <c r="T196" s="1">
        <v>43397.621562499997</v>
      </c>
      <c r="U196">
        <v>4</v>
      </c>
      <c r="V196" t="s">
        <v>55</v>
      </c>
      <c r="W196">
        <v>6</v>
      </c>
      <c r="X196" t="s">
        <v>350</v>
      </c>
      <c r="Y196">
        <v>38</v>
      </c>
      <c r="Z196">
        <v>0</v>
      </c>
      <c r="AA196" t="s">
        <v>547</v>
      </c>
      <c r="AB196">
        <v>0</v>
      </c>
      <c r="AC196" t="s">
        <v>43</v>
      </c>
      <c r="AD196">
        <v>421.11</v>
      </c>
      <c r="AE196">
        <v>590</v>
      </c>
      <c r="AF196">
        <v>0</v>
      </c>
      <c r="AG196">
        <v>0</v>
      </c>
      <c r="AH196" t="s">
        <v>585</v>
      </c>
      <c r="AI196" t="s">
        <v>43</v>
      </c>
    </row>
    <row r="197" spans="1:35" x14ac:dyDescent="0.25">
      <c r="A197">
        <v>366</v>
      </c>
      <c r="B197" t="s">
        <v>586</v>
      </c>
      <c r="C197" t="s">
        <v>587</v>
      </c>
      <c r="D197">
        <v>310</v>
      </c>
      <c r="E197">
        <v>189</v>
      </c>
      <c r="F197">
        <v>63</v>
      </c>
      <c r="G197">
        <v>115</v>
      </c>
      <c r="H197">
        <v>0</v>
      </c>
      <c r="I197">
        <v>264</v>
      </c>
      <c r="J197">
        <v>0</v>
      </c>
      <c r="K197">
        <v>0</v>
      </c>
      <c r="L197">
        <v>0</v>
      </c>
      <c r="M197">
        <v>1</v>
      </c>
      <c r="N197">
        <v>55.1</v>
      </c>
      <c r="O197">
        <v>170.1</v>
      </c>
      <c r="P197" s="2">
        <v>0.55000000000000004</v>
      </c>
      <c r="Q197">
        <v>1.7</v>
      </c>
      <c r="R197" t="s">
        <v>37</v>
      </c>
      <c r="S197" t="s">
        <v>1277</v>
      </c>
      <c r="T197" s="1">
        <v>43397.621562499997</v>
      </c>
      <c r="U197">
        <v>4</v>
      </c>
      <c r="V197" t="s">
        <v>55</v>
      </c>
      <c r="W197">
        <v>8</v>
      </c>
      <c r="X197" t="s">
        <v>118</v>
      </c>
      <c r="Y197">
        <v>7</v>
      </c>
      <c r="Z197">
        <v>0</v>
      </c>
      <c r="AA197" t="s">
        <v>257</v>
      </c>
      <c r="AB197">
        <v>0</v>
      </c>
      <c r="AC197" t="s">
        <v>43</v>
      </c>
      <c r="AD197">
        <v>1.1499999999999999</v>
      </c>
      <c r="AE197">
        <v>1.89</v>
      </c>
      <c r="AF197">
        <v>0</v>
      </c>
      <c r="AG197">
        <v>0</v>
      </c>
      <c r="AH197" t="s">
        <v>588</v>
      </c>
      <c r="AI197" t="s">
        <v>43</v>
      </c>
    </row>
    <row r="198" spans="1:35" x14ac:dyDescent="0.25">
      <c r="A198">
        <v>368</v>
      </c>
      <c r="B198" t="s">
        <v>589</v>
      </c>
      <c r="C198" t="s">
        <v>590</v>
      </c>
      <c r="D198">
        <v>36</v>
      </c>
      <c r="E198">
        <v>4100</v>
      </c>
      <c r="F198">
        <v>36</v>
      </c>
      <c r="G198">
        <v>3300</v>
      </c>
      <c r="H198">
        <v>0</v>
      </c>
      <c r="I198">
        <v>24</v>
      </c>
      <c r="J198">
        <v>0</v>
      </c>
      <c r="K198">
        <v>0</v>
      </c>
      <c r="L198">
        <v>0</v>
      </c>
      <c r="M198">
        <v>1</v>
      </c>
      <c r="N198">
        <v>390</v>
      </c>
      <c r="O198">
        <v>3690</v>
      </c>
      <c r="P198">
        <v>3.9</v>
      </c>
      <c r="Q198">
        <v>36.9</v>
      </c>
      <c r="R198" t="s">
        <v>37</v>
      </c>
      <c r="S198" t="s">
        <v>1277</v>
      </c>
      <c r="T198" s="1">
        <v>43397.621562499997</v>
      </c>
      <c r="U198">
        <v>2</v>
      </c>
      <c r="V198" t="s">
        <v>47</v>
      </c>
      <c r="W198">
        <v>8</v>
      </c>
      <c r="X198" t="s">
        <v>118</v>
      </c>
      <c r="Y198">
        <v>8</v>
      </c>
      <c r="Z198">
        <v>0</v>
      </c>
      <c r="AA198" t="s">
        <v>232</v>
      </c>
      <c r="AB198">
        <v>0</v>
      </c>
      <c r="AC198" t="s">
        <v>43</v>
      </c>
      <c r="AD198">
        <v>33</v>
      </c>
      <c r="AE198">
        <v>41</v>
      </c>
      <c r="AF198">
        <v>0</v>
      </c>
      <c r="AG198">
        <v>0</v>
      </c>
      <c r="AH198" t="s">
        <v>591</v>
      </c>
      <c r="AI198" t="s">
        <v>43</v>
      </c>
    </row>
    <row r="199" spans="1:35" x14ac:dyDescent="0.25">
      <c r="A199">
        <v>369</v>
      </c>
      <c r="B199" t="s">
        <v>592</v>
      </c>
      <c r="C199" t="s">
        <v>593</v>
      </c>
      <c r="D199">
        <v>63</v>
      </c>
      <c r="E199">
        <v>30297</v>
      </c>
      <c r="F199">
        <v>14</v>
      </c>
      <c r="G199">
        <v>28401</v>
      </c>
      <c r="H199">
        <v>0</v>
      </c>
      <c r="I199">
        <v>79</v>
      </c>
      <c r="J199">
        <v>0</v>
      </c>
      <c r="K199">
        <v>0</v>
      </c>
      <c r="L199">
        <v>0</v>
      </c>
      <c r="M199">
        <v>1</v>
      </c>
      <c r="N199">
        <v>-1133.7</v>
      </c>
      <c r="O199">
        <v>27267.3</v>
      </c>
      <c r="P199">
        <v>-11.34</v>
      </c>
      <c r="Q199">
        <v>272.67</v>
      </c>
      <c r="R199" t="s">
        <v>37</v>
      </c>
      <c r="S199" t="s">
        <v>1277</v>
      </c>
      <c r="T199" s="1">
        <v>43397.621562499997</v>
      </c>
      <c r="U199">
        <v>3</v>
      </c>
      <c r="V199" t="s">
        <v>38</v>
      </c>
      <c r="W199">
        <v>8</v>
      </c>
      <c r="X199" t="s">
        <v>118</v>
      </c>
      <c r="Y199">
        <v>8</v>
      </c>
      <c r="Z199">
        <v>0</v>
      </c>
      <c r="AA199" t="s">
        <v>232</v>
      </c>
      <c r="AB199">
        <v>0</v>
      </c>
      <c r="AC199" t="s">
        <v>43</v>
      </c>
      <c r="AD199">
        <v>284.01</v>
      </c>
      <c r="AE199">
        <v>302.97000000000003</v>
      </c>
      <c r="AF199">
        <v>0</v>
      </c>
      <c r="AG199">
        <v>0</v>
      </c>
      <c r="AH199" t="s">
        <v>594</v>
      </c>
      <c r="AI199" t="s">
        <v>43</v>
      </c>
    </row>
    <row r="200" spans="1:35" x14ac:dyDescent="0.25">
      <c r="A200">
        <v>370</v>
      </c>
      <c r="B200" t="s">
        <v>595</v>
      </c>
      <c r="C200" t="s">
        <v>43</v>
      </c>
      <c r="D200">
        <v>314</v>
      </c>
      <c r="E200">
        <v>301</v>
      </c>
      <c r="F200">
        <v>133</v>
      </c>
      <c r="G200">
        <v>264</v>
      </c>
      <c r="H200">
        <v>0</v>
      </c>
      <c r="I200">
        <v>108</v>
      </c>
      <c r="J200">
        <v>0</v>
      </c>
      <c r="K200">
        <v>1329</v>
      </c>
      <c r="L200">
        <v>1313</v>
      </c>
      <c r="M200">
        <v>1</v>
      </c>
      <c r="N200">
        <v>6.9</v>
      </c>
      <c r="O200">
        <v>-1042.0999999999999</v>
      </c>
      <c r="P200">
        <v>7.0000000000000007E-2</v>
      </c>
      <c r="Q200">
        <v>-10.42</v>
      </c>
      <c r="R200" t="s">
        <v>59</v>
      </c>
      <c r="S200" t="s">
        <v>1277</v>
      </c>
      <c r="T200" s="1">
        <v>43397.621562499997</v>
      </c>
      <c r="U200">
        <v>1</v>
      </c>
      <c r="V200" t="s">
        <v>44</v>
      </c>
      <c r="W200">
        <v>8</v>
      </c>
      <c r="X200" t="s">
        <v>118</v>
      </c>
      <c r="Y200">
        <v>25</v>
      </c>
      <c r="Z200">
        <v>108</v>
      </c>
      <c r="AA200" t="s">
        <v>119</v>
      </c>
      <c r="AB200">
        <v>1</v>
      </c>
      <c r="AC200" t="s">
        <v>60</v>
      </c>
      <c r="AD200">
        <v>2.64</v>
      </c>
      <c r="AE200">
        <v>3.01</v>
      </c>
      <c r="AF200">
        <v>13.29</v>
      </c>
      <c r="AG200">
        <v>13.13</v>
      </c>
      <c r="AH200" t="s">
        <v>596</v>
      </c>
      <c r="AI200" t="s">
        <v>43</v>
      </c>
    </row>
    <row r="201" spans="1:35" x14ac:dyDescent="0.25">
      <c r="A201">
        <v>371</v>
      </c>
      <c r="B201" t="s">
        <v>597</v>
      </c>
      <c r="C201" t="s">
        <v>598</v>
      </c>
      <c r="D201">
        <v>49</v>
      </c>
      <c r="E201">
        <v>3596</v>
      </c>
      <c r="F201">
        <v>82</v>
      </c>
      <c r="G201">
        <v>3161</v>
      </c>
      <c r="H201">
        <v>0</v>
      </c>
      <c r="I201">
        <v>74</v>
      </c>
      <c r="J201">
        <v>0</v>
      </c>
      <c r="K201">
        <v>3440</v>
      </c>
      <c r="L201">
        <v>3261</v>
      </c>
      <c r="M201">
        <v>1</v>
      </c>
      <c r="N201">
        <v>75.400000000000006</v>
      </c>
      <c r="O201">
        <v>-24.6</v>
      </c>
      <c r="P201">
        <v>0.75</v>
      </c>
      <c r="Q201">
        <v>-0.25</v>
      </c>
      <c r="R201" t="s">
        <v>59</v>
      </c>
      <c r="S201" t="s">
        <v>1277</v>
      </c>
      <c r="T201" s="1">
        <v>43397.621562499997</v>
      </c>
      <c r="U201">
        <v>2</v>
      </c>
      <c r="V201" t="s">
        <v>47</v>
      </c>
      <c r="W201">
        <v>1</v>
      </c>
      <c r="X201" t="s">
        <v>101</v>
      </c>
      <c r="Y201">
        <v>5</v>
      </c>
      <c r="Z201">
        <v>95</v>
      </c>
      <c r="AA201" t="s">
        <v>182</v>
      </c>
      <c r="AB201">
        <v>5</v>
      </c>
      <c r="AC201" t="s">
        <v>599</v>
      </c>
      <c r="AD201">
        <v>31.61</v>
      </c>
      <c r="AE201">
        <v>35.96</v>
      </c>
      <c r="AF201">
        <v>34.4</v>
      </c>
      <c r="AG201">
        <v>32.61</v>
      </c>
      <c r="AH201" t="s">
        <v>600</v>
      </c>
    </row>
    <row r="202" spans="1:35" x14ac:dyDescent="0.25">
      <c r="A202">
        <v>372</v>
      </c>
      <c r="B202" t="s">
        <v>601</v>
      </c>
      <c r="C202" t="s">
        <v>602</v>
      </c>
      <c r="D202">
        <v>44</v>
      </c>
      <c r="E202">
        <v>33334</v>
      </c>
      <c r="F202">
        <v>18</v>
      </c>
      <c r="G202">
        <v>30700</v>
      </c>
      <c r="H202">
        <v>0</v>
      </c>
      <c r="I202">
        <v>37</v>
      </c>
      <c r="J202">
        <v>0</v>
      </c>
      <c r="K202">
        <v>32610</v>
      </c>
      <c r="L202">
        <v>29986</v>
      </c>
      <c r="M202">
        <v>1</v>
      </c>
      <c r="N202">
        <v>-699.4</v>
      </c>
      <c r="O202">
        <v>14.6</v>
      </c>
      <c r="P202">
        <v>-6.99</v>
      </c>
      <c r="Q202">
        <v>0.15</v>
      </c>
      <c r="R202" t="s">
        <v>37</v>
      </c>
      <c r="S202" t="s">
        <v>1277</v>
      </c>
      <c r="T202" s="1">
        <v>43397.621562499997</v>
      </c>
      <c r="U202">
        <v>3</v>
      </c>
      <c r="V202" t="s">
        <v>38</v>
      </c>
      <c r="W202">
        <v>1</v>
      </c>
      <c r="X202" t="s">
        <v>101</v>
      </c>
      <c r="Y202">
        <v>56</v>
      </c>
      <c r="Z202">
        <v>102</v>
      </c>
      <c r="AA202" t="s">
        <v>102</v>
      </c>
      <c r="AB202">
        <v>5</v>
      </c>
      <c r="AC202" t="s">
        <v>599</v>
      </c>
      <c r="AD202">
        <v>307</v>
      </c>
      <c r="AE202">
        <v>333.34</v>
      </c>
      <c r="AF202">
        <v>326.10000000000002</v>
      </c>
      <c r="AG202">
        <v>299.86</v>
      </c>
      <c r="AH202" t="s">
        <v>603</v>
      </c>
    </row>
    <row r="203" spans="1:35" x14ac:dyDescent="0.25">
      <c r="A203">
        <v>373</v>
      </c>
      <c r="B203" t="s">
        <v>604</v>
      </c>
      <c r="C203" t="s">
        <v>605</v>
      </c>
      <c r="D203">
        <v>141</v>
      </c>
      <c r="E203">
        <v>2900</v>
      </c>
      <c r="F203">
        <v>58</v>
      </c>
      <c r="G203">
        <v>2800</v>
      </c>
      <c r="H203">
        <v>0</v>
      </c>
      <c r="I203">
        <v>114</v>
      </c>
      <c r="J203">
        <v>0</v>
      </c>
      <c r="K203">
        <v>2720</v>
      </c>
      <c r="L203">
        <v>2625</v>
      </c>
      <c r="M203">
        <v>1</v>
      </c>
      <c r="N203">
        <v>-190</v>
      </c>
      <c r="O203">
        <v>-15</v>
      </c>
      <c r="P203">
        <v>-1.9</v>
      </c>
      <c r="Q203">
        <v>-0.15</v>
      </c>
      <c r="R203" t="s">
        <v>37</v>
      </c>
      <c r="S203" t="s">
        <v>1277</v>
      </c>
      <c r="T203" s="1">
        <v>43397.621562499997</v>
      </c>
      <c r="U203">
        <v>2</v>
      </c>
      <c r="V203" t="s">
        <v>47</v>
      </c>
      <c r="W203">
        <v>2</v>
      </c>
      <c r="X203" t="s">
        <v>39</v>
      </c>
      <c r="Y203">
        <v>9</v>
      </c>
      <c r="Z203">
        <v>98</v>
      </c>
      <c r="AA203" t="s">
        <v>226</v>
      </c>
      <c r="AB203">
        <v>5</v>
      </c>
      <c r="AC203" t="s">
        <v>599</v>
      </c>
      <c r="AD203">
        <v>28</v>
      </c>
      <c r="AE203">
        <v>29</v>
      </c>
      <c r="AF203">
        <v>27.2</v>
      </c>
      <c r="AG203">
        <v>26.25</v>
      </c>
      <c r="AH203" t="s">
        <v>606</v>
      </c>
      <c r="AI203" t="s">
        <v>43</v>
      </c>
    </row>
    <row r="204" spans="1:35" x14ac:dyDescent="0.25">
      <c r="A204">
        <v>374</v>
      </c>
      <c r="B204" t="s">
        <v>607</v>
      </c>
      <c r="C204" t="s">
        <v>608</v>
      </c>
      <c r="D204">
        <v>26</v>
      </c>
      <c r="E204">
        <v>33350</v>
      </c>
      <c r="F204">
        <v>20</v>
      </c>
      <c r="G204">
        <v>31700</v>
      </c>
      <c r="H204">
        <v>0</v>
      </c>
      <c r="I204">
        <v>35</v>
      </c>
      <c r="J204">
        <v>0</v>
      </c>
      <c r="K204">
        <v>32818</v>
      </c>
      <c r="L204">
        <v>31382</v>
      </c>
      <c r="M204">
        <v>1</v>
      </c>
      <c r="N204">
        <v>-1685</v>
      </c>
      <c r="O204">
        <v>-1367</v>
      </c>
      <c r="P204">
        <v>-16.850000000000001</v>
      </c>
      <c r="Q204">
        <v>-13.67</v>
      </c>
      <c r="R204" t="s">
        <v>37</v>
      </c>
      <c r="S204" t="s">
        <v>1277</v>
      </c>
      <c r="T204" s="1">
        <v>43397.621562499997</v>
      </c>
      <c r="U204">
        <v>3</v>
      </c>
      <c r="V204" t="s">
        <v>38</v>
      </c>
      <c r="W204">
        <v>2</v>
      </c>
      <c r="X204" t="s">
        <v>39</v>
      </c>
      <c r="Y204">
        <v>32</v>
      </c>
      <c r="Z204">
        <v>101</v>
      </c>
      <c r="AA204" t="s">
        <v>97</v>
      </c>
      <c r="AB204">
        <v>5</v>
      </c>
      <c r="AC204" t="s">
        <v>599</v>
      </c>
      <c r="AD204">
        <v>317</v>
      </c>
      <c r="AE204">
        <v>333.5</v>
      </c>
      <c r="AF204">
        <v>328.18</v>
      </c>
      <c r="AG204">
        <v>313.82</v>
      </c>
      <c r="AH204" t="s">
        <v>609</v>
      </c>
    </row>
    <row r="205" spans="1:35" x14ac:dyDescent="0.25">
      <c r="A205">
        <v>375</v>
      </c>
      <c r="B205" t="s">
        <v>610</v>
      </c>
      <c r="C205" t="s">
        <v>611</v>
      </c>
      <c r="D205">
        <v>45</v>
      </c>
      <c r="E205">
        <v>30899</v>
      </c>
      <c r="F205">
        <v>25</v>
      </c>
      <c r="G205">
        <v>28500</v>
      </c>
      <c r="H205">
        <v>0</v>
      </c>
      <c r="I205">
        <v>64</v>
      </c>
      <c r="J205">
        <v>0</v>
      </c>
      <c r="K205">
        <v>30550</v>
      </c>
      <c r="L205">
        <v>29072</v>
      </c>
      <c r="M205">
        <v>1</v>
      </c>
      <c r="N205">
        <v>-690.9</v>
      </c>
      <c r="O205">
        <v>-1262.9000000000001</v>
      </c>
      <c r="P205">
        <v>-6.91</v>
      </c>
      <c r="Q205">
        <v>-12.63</v>
      </c>
      <c r="R205" t="s">
        <v>59</v>
      </c>
      <c r="S205" t="s">
        <v>1277</v>
      </c>
      <c r="T205" s="1">
        <v>43397.621562499997</v>
      </c>
      <c r="U205">
        <v>3</v>
      </c>
      <c r="V205" t="s">
        <v>38</v>
      </c>
      <c r="W205">
        <v>2</v>
      </c>
      <c r="X205" t="s">
        <v>39</v>
      </c>
      <c r="Y205">
        <v>18</v>
      </c>
      <c r="Z205">
        <v>99</v>
      </c>
      <c r="AA205" t="s">
        <v>71</v>
      </c>
      <c r="AB205">
        <v>5</v>
      </c>
      <c r="AC205" t="s">
        <v>599</v>
      </c>
      <c r="AD205">
        <v>285</v>
      </c>
      <c r="AE205">
        <v>308.99</v>
      </c>
      <c r="AF205">
        <v>305.5</v>
      </c>
      <c r="AG205">
        <v>290.72000000000003</v>
      </c>
      <c r="AH205" t="s">
        <v>612</v>
      </c>
    </row>
    <row r="206" spans="1:35" x14ac:dyDescent="0.25">
      <c r="A206">
        <v>376</v>
      </c>
      <c r="B206" t="s">
        <v>613</v>
      </c>
      <c r="C206" t="s">
        <v>614</v>
      </c>
      <c r="D206">
        <v>17</v>
      </c>
      <c r="E206">
        <v>52939</v>
      </c>
      <c r="F206">
        <v>22</v>
      </c>
      <c r="G206">
        <v>45501</v>
      </c>
      <c r="H206">
        <v>0</v>
      </c>
      <c r="I206">
        <v>136</v>
      </c>
      <c r="J206">
        <v>0</v>
      </c>
      <c r="K206">
        <v>0</v>
      </c>
      <c r="L206">
        <v>0</v>
      </c>
      <c r="M206">
        <v>1</v>
      </c>
      <c r="N206">
        <v>2144.1</v>
      </c>
      <c r="O206">
        <v>47645.1</v>
      </c>
      <c r="P206">
        <v>21.44</v>
      </c>
      <c r="Q206">
        <v>476.45</v>
      </c>
      <c r="R206" t="s">
        <v>37</v>
      </c>
      <c r="S206" t="s">
        <v>1277</v>
      </c>
      <c r="T206" s="1">
        <v>43397.621562499997</v>
      </c>
      <c r="U206">
        <v>2</v>
      </c>
      <c r="V206" t="s">
        <v>47</v>
      </c>
      <c r="W206">
        <v>1</v>
      </c>
      <c r="X206" t="s">
        <v>101</v>
      </c>
      <c r="Y206">
        <v>57</v>
      </c>
      <c r="Z206">
        <v>0</v>
      </c>
      <c r="AA206" t="s">
        <v>615</v>
      </c>
      <c r="AB206">
        <v>0</v>
      </c>
      <c r="AC206" t="s">
        <v>43</v>
      </c>
      <c r="AD206">
        <v>455.01</v>
      </c>
      <c r="AE206">
        <v>529.39</v>
      </c>
      <c r="AF206">
        <v>0</v>
      </c>
      <c r="AG206">
        <v>0</v>
      </c>
      <c r="AH206" t="s">
        <v>616</v>
      </c>
    </row>
    <row r="207" spans="1:35" x14ac:dyDescent="0.25">
      <c r="A207">
        <v>377</v>
      </c>
      <c r="B207" t="s">
        <v>617</v>
      </c>
      <c r="C207" t="s">
        <v>618</v>
      </c>
      <c r="D207">
        <v>52</v>
      </c>
      <c r="E207">
        <v>12318</v>
      </c>
      <c r="F207">
        <v>59</v>
      </c>
      <c r="G207">
        <v>11003</v>
      </c>
      <c r="H207">
        <v>0</v>
      </c>
      <c r="I207">
        <v>139</v>
      </c>
      <c r="J207">
        <v>0</v>
      </c>
      <c r="K207">
        <v>0</v>
      </c>
      <c r="L207">
        <v>0</v>
      </c>
      <c r="M207">
        <v>1</v>
      </c>
      <c r="N207">
        <v>83.2</v>
      </c>
      <c r="O207">
        <v>11086.2</v>
      </c>
      <c r="P207">
        <v>0.83</v>
      </c>
      <c r="Q207">
        <v>110.86</v>
      </c>
      <c r="R207" t="s">
        <v>37</v>
      </c>
      <c r="S207" t="s">
        <v>1277</v>
      </c>
      <c r="T207" s="1">
        <v>43397.621562499997</v>
      </c>
      <c r="U207">
        <v>1</v>
      </c>
      <c r="V207" t="s">
        <v>44</v>
      </c>
      <c r="W207">
        <v>1</v>
      </c>
      <c r="X207" t="s">
        <v>101</v>
      </c>
      <c r="Y207">
        <v>55</v>
      </c>
      <c r="Z207">
        <v>0</v>
      </c>
      <c r="AA207" t="s">
        <v>169</v>
      </c>
      <c r="AB207">
        <v>0</v>
      </c>
      <c r="AC207" t="s">
        <v>43</v>
      </c>
      <c r="AD207">
        <v>110.03</v>
      </c>
      <c r="AE207">
        <v>123.18</v>
      </c>
      <c r="AF207">
        <v>0</v>
      </c>
      <c r="AG207">
        <v>0</v>
      </c>
      <c r="AH207" t="s">
        <v>619</v>
      </c>
    </row>
    <row r="208" spans="1:35" x14ac:dyDescent="0.25">
      <c r="A208">
        <v>378</v>
      </c>
      <c r="B208" t="s">
        <v>620</v>
      </c>
      <c r="C208" t="s">
        <v>621</v>
      </c>
      <c r="D208">
        <v>43</v>
      </c>
      <c r="E208">
        <v>11494</v>
      </c>
      <c r="F208">
        <v>14</v>
      </c>
      <c r="G208">
        <v>10000</v>
      </c>
      <c r="H208">
        <v>0</v>
      </c>
      <c r="I208">
        <v>104</v>
      </c>
      <c r="J208">
        <v>0</v>
      </c>
      <c r="K208">
        <v>0</v>
      </c>
      <c r="L208">
        <v>0</v>
      </c>
      <c r="M208">
        <v>1</v>
      </c>
      <c r="N208">
        <v>344.6</v>
      </c>
      <c r="O208">
        <v>10344.6</v>
      </c>
      <c r="P208">
        <v>3.45</v>
      </c>
      <c r="Q208">
        <v>103.45</v>
      </c>
      <c r="R208" t="s">
        <v>37</v>
      </c>
      <c r="S208" t="s">
        <v>1277</v>
      </c>
      <c r="T208" s="1">
        <v>43397.621562499997</v>
      </c>
      <c r="U208">
        <v>2</v>
      </c>
      <c r="V208" t="s">
        <v>47</v>
      </c>
      <c r="W208">
        <v>1</v>
      </c>
      <c r="X208" t="s">
        <v>101</v>
      </c>
      <c r="Y208">
        <v>5</v>
      </c>
      <c r="Z208">
        <v>0</v>
      </c>
      <c r="AA208" t="s">
        <v>182</v>
      </c>
      <c r="AB208">
        <v>0</v>
      </c>
      <c r="AC208" t="s">
        <v>43</v>
      </c>
      <c r="AD208">
        <v>100</v>
      </c>
      <c r="AE208">
        <v>114.94</v>
      </c>
      <c r="AF208">
        <v>0</v>
      </c>
      <c r="AG208">
        <v>0</v>
      </c>
      <c r="AH208" t="s">
        <v>622</v>
      </c>
    </row>
    <row r="209" spans="1:35" x14ac:dyDescent="0.25">
      <c r="A209">
        <v>379</v>
      </c>
      <c r="B209" t="s">
        <v>623</v>
      </c>
      <c r="C209" t="s">
        <v>624</v>
      </c>
      <c r="D209">
        <v>107</v>
      </c>
      <c r="E209">
        <v>2900</v>
      </c>
      <c r="F209">
        <v>22</v>
      </c>
      <c r="G209">
        <v>2760</v>
      </c>
      <c r="H209">
        <v>0</v>
      </c>
      <c r="I209">
        <v>123</v>
      </c>
      <c r="J209">
        <v>0</v>
      </c>
      <c r="K209">
        <v>2813</v>
      </c>
      <c r="L209">
        <v>2737</v>
      </c>
      <c r="M209">
        <v>1</v>
      </c>
      <c r="N209">
        <v>-150</v>
      </c>
      <c r="O209">
        <v>-127</v>
      </c>
      <c r="P209">
        <v>-1.5</v>
      </c>
      <c r="Q209">
        <v>-1.27</v>
      </c>
      <c r="R209" t="s">
        <v>37</v>
      </c>
      <c r="S209" t="s">
        <v>1277</v>
      </c>
      <c r="T209" s="1">
        <v>43397.621562499997</v>
      </c>
      <c r="U209">
        <v>2</v>
      </c>
      <c r="V209" t="s">
        <v>47</v>
      </c>
      <c r="W209">
        <v>4</v>
      </c>
      <c r="X209" t="s">
        <v>114</v>
      </c>
      <c r="Y209">
        <v>35</v>
      </c>
      <c r="Z209">
        <v>112</v>
      </c>
      <c r="AA209" t="s">
        <v>165</v>
      </c>
      <c r="AB209">
        <v>3</v>
      </c>
      <c r="AC209" t="s">
        <v>72</v>
      </c>
      <c r="AD209">
        <v>27.6</v>
      </c>
      <c r="AE209">
        <v>29</v>
      </c>
      <c r="AF209">
        <v>28.13</v>
      </c>
      <c r="AG209">
        <v>27.37</v>
      </c>
      <c r="AH209" t="s">
        <v>625</v>
      </c>
    </row>
    <row r="210" spans="1:35" x14ac:dyDescent="0.25">
      <c r="A210">
        <v>380</v>
      </c>
      <c r="B210" t="s">
        <v>626</v>
      </c>
      <c r="C210" t="s">
        <v>627</v>
      </c>
      <c r="D210">
        <v>52</v>
      </c>
      <c r="E210">
        <v>3399</v>
      </c>
      <c r="F210">
        <v>55</v>
      </c>
      <c r="G210">
        <v>3282</v>
      </c>
      <c r="H210">
        <v>0</v>
      </c>
      <c r="I210">
        <v>127</v>
      </c>
      <c r="J210">
        <v>0</v>
      </c>
      <c r="K210">
        <v>2849</v>
      </c>
      <c r="L210">
        <v>2773</v>
      </c>
      <c r="M210">
        <v>1</v>
      </c>
      <c r="N210">
        <v>-222.9</v>
      </c>
      <c r="O210">
        <v>286.10000000000002</v>
      </c>
      <c r="P210">
        <v>-2.23</v>
      </c>
      <c r="Q210">
        <v>2.86</v>
      </c>
      <c r="R210" t="s">
        <v>37</v>
      </c>
      <c r="S210" t="s">
        <v>1277</v>
      </c>
      <c r="T210" s="1">
        <v>43397.621562499997</v>
      </c>
      <c r="U210">
        <v>2</v>
      </c>
      <c r="V210" t="s">
        <v>47</v>
      </c>
      <c r="W210">
        <v>4</v>
      </c>
      <c r="X210" t="s">
        <v>114</v>
      </c>
      <c r="Y210">
        <v>35</v>
      </c>
      <c r="Z210">
        <v>97</v>
      </c>
      <c r="AA210" t="s">
        <v>165</v>
      </c>
      <c r="AB210">
        <v>5</v>
      </c>
      <c r="AC210" t="s">
        <v>599</v>
      </c>
      <c r="AD210">
        <v>32.82</v>
      </c>
      <c r="AE210">
        <v>33.99</v>
      </c>
      <c r="AF210">
        <v>28.49</v>
      </c>
      <c r="AG210">
        <v>27.73</v>
      </c>
      <c r="AH210" t="s">
        <v>628</v>
      </c>
    </row>
    <row r="211" spans="1:35" x14ac:dyDescent="0.25">
      <c r="A211">
        <v>381</v>
      </c>
      <c r="B211" t="s">
        <v>629</v>
      </c>
      <c r="C211" t="s">
        <v>630</v>
      </c>
      <c r="D211">
        <v>28</v>
      </c>
      <c r="E211">
        <v>21985</v>
      </c>
      <c r="F211">
        <v>7</v>
      </c>
      <c r="G211">
        <v>17016</v>
      </c>
      <c r="H211">
        <v>0</v>
      </c>
      <c r="I211">
        <v>144</v>
      </c>
      <c r="J211">
        <v>0</v>
      </c>
      <c r="K211">
        <v>0</v>
      </c>
      <c r="L211">
        <v>0</v>
      </c>
      <c r="M211">
        <v>1</v>
      </c>
      <c r="N211">
        <v>2770.5</v>
      </c>
      <c r="O211">
        <v>19786.5</v>
      </c>
      <c r="P211">
        <v>27.71</v>
      </c>
      <c r="Q211">
        <v>197.87</v>
      </c>
      <c r="R211" t="s">
        <v>37</v>
      </c>
      <c r="S211" t="s">
        <v>1277</v>
      </c>
      <c r="T211" s="1">
        <v>43397.621562499997</v>
      </c>
      <c r="U211">
        <v>2</v>
      </c>
      <c r="V211" t="s">
        <v>47</v>
      </c>
      <c r="W211">
        <v>1</v>
      </c>
      <c r="X211" t="s">
        <v>101</v>
      </c>
      <c r="Y211">
        <v>5</v>
      </c>
      <c r="Z211">
        <v>0</v>
      </c>
      <c r="AA211" t="s">
        <v>182</v>
      </c>
      <c r="AB211">
        <v>0</v>
      </c>
      <c r="AC211" t="s">
        <v>43</v>
      </c>
      <c r="AD211">
        <v>170.16</v>
      </c>
      <c r="AE211">
        <v>219.85</v>
      </c>
      <c r="AF211">
        <v>0</v>
      </c>
      <c r="AG211">
        <v>0</v>
      </c>
      <c r="AH211" t="s">
        <v>631</v>
      </c>
    </row>
    <row r="212" spans="1:35" x14ac:dyDescent="0.25">
      <c r="A212">
        <v>382</v>
      </c>
      <c r="B212" t="s">
        <v>632</v>
      </c>
      <c r="C212" t="s">
        <v>633</v>
      </c>
      <c r="D212">
        <v>48</v>
      </c>
      <c r="E212">
        <v>13222</v>
      </c>
      <c r="F212">
        <v>32</v>
      </c>
      <c r="G212">
        <v>11000</v>
      </c>
      <c r="H212">
        <v>0</v>
      </c>
      <c r="I212">
        <v>156</v>
      </c>
      <c r="J212">
        <v>0</v>
      </c>
      <c r="K212">
        <v>0</v>
      </c>
      <c r="L212">
        <v>0</v>
      </c>
      <c r="M212">
        <v>1</v>
      </c>
      <c r="N212">
        <v>899.8</v>
      </c>
      <c r="O212">
        <v>11899.8</v>
      </c>
      <c r="P212">
        <v>9</v>
      </c>
      <c r="Q212">
        <v>119</v>
      </c>
      <c r="R212" t="s">
        <v>37</v>
      </c>
      <c r="S212" t="s">
        <v>1277</v>
      </c>
      <c r="T212" s="1">
        <v>43397.621562499997</v>
      </c>
      <c r="U212">
        <v>3</v>
      </c>
      <c r="V212" t="s">
        <v>38</v>
      </c>
      <c r="W212">
        <v>3</v>
      </c>
      <c r="X212" t="s">
        <v>109</v>
      </c>
      <c r="Y212">
        <v>12</v>
      </c>
      <c r="Z212">
        <v>0</v>
      </c>
      <c r="AA212" t="s">
        <v>186</v>
      </c>
      <c r="AB212">
        <v>0</v>
      </c>
      <c r="AC212" t="s">
        <v>43</v>
      </c>
      <c r="AD212">
        <v>110</v>
      </c>
      <c r="AE212">
        <v>132.22</v>
      </c>
      <c r="AF212">
        <v>0</v>
      </c>
      <c r="AG212">
        <v>0</v>
      </c>
      <c r="AH212" t="s">
        <v>634</v>
      </c>
    </row>
    <row r="213" spans="1:35" x14ac:dyDescent="0.25">
      <c r="A213">
        <v>383</v>
      </c>
      <c r="B213" t="s">
        <v>635</v>
      </c>
      <c r="C213" t="s">
        <v>636</v>
      </c>
      <c r="D213">
        <v>25</v>
      </c>
      <c r="E213">
        <v>2987</v>
      </c>
      <c r="F213">
        <v>40</v>
      </c>
      <c r="G213">
        <v>2528</v>
      </c>
      <c r="H213">
        <v>0</v>
      </c>
      <c r="I213">
        <v>162</v>
      </c>
      <c r="J213">
        <v>0</v>
      </c>
      <c r="K213">
        <v>2708</v>
      </c>
      <c r="L213">
        <v>2646</v>
      </c>
      <c r="M213">
        <v>1</v>
      </c>
      <c r="N213">
        <v>160.30000000000001</v>
      </c>
      <c r="O213">
        <v>42.3</v>
      </c>
      <c r="P213">
        <v>1.6</v>
      </c>
      <c r="Q213">
        <v>0.42</v>
      </c>
      <c r="R213" t="s">
        <v>59</v>
      </c>
      <c r="S213" t="s">
        <v>1277</v>
      </c>
      <c r="T213" s="1">
        <v>43397.621562499997</v>
      </c>
      <c r="U213">
        <v>2</v>
      </c>
      <c r="V213" t="s">
        <v>47</v>
      </c>
      <c r="W213">
        <v>4</v>
      </c>
      <c r="X213" t="s">
        <v>114</v>
      </c>
      <c r="Y213">
        <v>35</v>
      </c>
      <c r="Z213">
        <v>111</v>
      </c>
      <c r="AA213" t="s">
        <v>165</v>
      </c>
      <c r="AB213">
        <v>3</v>
      </c>
      <c r="AC213" t="s">
        <v>72</v>
      </c>
      <c r="AD213">
        <v>25.28</v>
      </c>
      <c r="AE213">
        <v>29.87</v>
      </c>
      <c r="AF213">
        <v>27.08</v>
      </c>
      <c r="AG213">
        <v>26.46</v>
      </c>
      <c r="AH213" t="s">
        <v>637</v>
      </c>
    </row>
    <row r="214" spans="1:35" x14ac:dyDescent="0.25">
      <c r="A214">
        <v>384</v>
      </c>
      <c r="B214" t="s">
        <v>638</v>
      </c>
      <c r="C214" t="s">
        <v>639</v>
      </c>
      <c r="D214">
        <v>25</v>
      </c>
      <c r="E214">
        <v>3699</v>
      </c>
      <c r="F214">
        <v>28</v>
      </c>
      <c r="G214">
        <v>3488</v>
      </c>
      <c r="H214">
        <v>0</v>
      </c>
      <c r="I214">
        <v>111</v>
      </c>
      <c r="J214">
        <v>0</v>
      </c>
      <c r="K214">
        <v>3156</v>
      </c>
      <c r="L214">
        <v>3028</v>
      </c>
      <c r="M214">
        <v>1</v>
      </c>
      <c r="N214">
        <v>-158.9</v>
      </c>
      <c r="O214">
        <v>301.10000000000002</v>
      </c>
      <c r="P214">
        <v>-1.59</v>
      </c>
      <c r="Q214">
        <v>3.01</v>
      </c>
      <c r="R214" t="s">
        <v>37</v>
      </c>
      <c r="S214" t="s">
        <v>1277</v>
      </c>
      <c r="T214" s="1">
        <v>43397.621562499997</v>
      </c>
      <c r="U214">
        <v>2</v>
      </c>
      <c r="V214" t="s">
        <v>47</v>
      </c>
      <c r="W214">
        <v>4</v>
      </c>
      <c r="X214" t="s">
        <v>114</v>
      </c>
      <c r="Y214">
        <v>35</v>
      </c>
      <c r="Z214">
        <v>96</v>
      </c>
      <c r="AA214" t="s">
        <v>165</v>
      </c>
      <c r="AB214">
        <v>5</v>
      </c>
      <c r="AC214" t="s">
        <v>599</v>
      </c>
      <c r="AD214">
        <v>34.880000000000003</v>
      </c>
      <c r="AE214">
        <v>36.99</v>
      </c>
      <c r="AF214">
        <v>31.56</v>
      </c>
      <c r="AG214">
        <v>30.28</v>
      </c>
      <c r="AH214" t="s">
        <v>640</v>
      </c>
    </row>
    <row r="215" spans="1:35" x14ac:dyDescent="0.25">
      <c r="A215">
        <v>385</v>
      </c>
      <c r="B215" t="s">
        <v>641</v>
      </c>
      <c r="C215" t="s">
        <v>642</v>
      </c>
      <c r="D215">
        <v>143</v>
      </c>
      <c r="E215">
        <v>29990</v>
      </c>
      <c r="F215">
        <v>61</v>
      </c>
      <c r="G215">
        <v>28102</v>
      </c>
      <c r="H215">
        <v>0</v>
      </c>
      <c r="I215">
        <v>27</v>
      </c>
      <c r="J215">
        <v>0</v>
      </c>
      <c r="K215">
        <v>31322</v>
      </c>
      <c r="L215">
        <v>30262</v>
      </c>
      <c r="M215">
        <v>1</v>
      </c>
      <c r="N215">
        <v>-1111</v>
      </c>
      <c r="O215">
        <v>-3271</v>
      </c>
      <c r="P215">
        <v>-11.11</v>
      </c>
      <c r="Q215">
        <v>-32.71</v>
      </c>
      <c r="R215" t="s">
        <v>59</v>
      </c>
      <c r="S215" t="s">
        <v>1277</v>
      </c>
      <c r="T215" s="1">
        <v>43397.621562499997</v>
      </c>
      <c r="U215">
        <v>3</v>
      </c>
      <c r="V215" t="s">
        <v>38</v>
      </c>
      <c r="W215">
        <v>4</v>
      </c>
      <c r="X215" t="s">
        <v>114</v>
      </c>
      <c r="Y215">
        <v>41</v>
      </c>
      <c r="Z215">
        <v>100</v>
      </c>
      <c r="AA215" t="s">
        <v>643</v>
      </c>
      <c r="AB215">
        <v>5</v>
      </c>
      <c r="AC215" t="s">
        <v>599</v>
      </c>
      <c r="AD215">
        <v>281.02</v>
      </c>
      <c r="AE215">
        <v>299.89999999999998</v>
      </c>
      <c r="AF215">
        <v>313.22000000000003</v>
      </c>
      <c r="AG215">
        <v>302.62</v>
      </c>
      <c r="AH215" t="s">
        <v>644</v>
      </c>
    </row>
    <row r="216" spans="1:35" x14ac:dyDescent="0.25">
      <c r="A216">
        <v>386</v>
      </c>
      <c r="B216" t="s">
        <v>645</v>
      </c>
      <c r="C216" t="s">
        <v>646</v>
      </c>
      <c r="D216">
        <v>56</v>
      </c>
      <c r="E216">
        <v>28098</v>
      </c>
      <c r="F216">
        <v>11</v>
      </c>
      <c r="G216">
        <v>26009</v>
      </c>
      <c r="H216">
        <v>0</v>
      </c>
      <c r="I216">
        <v>130</v>
      </c>
      <c r="J216">
        <v>0</v>
      </c>
      <c r="K216">
        <v>23892</v>
      </c>
      <c r="L216">
        <v>23600</v>
      </c>
      <c r="M216">
        <v>1</v>
      </c>
      <c r="N216">
        <v>-720.8</v>
      </c>
      <c r="O216">
        <v>1688.2</v>
      </c>
      <c r="P216">
        <v>-7.21</v>
      </c>
      <c r="Q216">
        <v>16.88</v>
      </c>
      <c r="R216" t="s">
        <v>37</v>
      </c>
      <c r="S216" t="s">
        <v>1277</v>
      </c>
      <c r="T216" s="1">
        <v>43397.621562499997</v>
      </c>
      <c r="U216">
        <v>4</v>
      </c>
      <c r="V216" t="s">
        <v>55</v>
      </c>
      <c r="W216">
        <v>8</v>
      </c>
      <c r="X216" t="s">
        <v>118</v>
      </c>
      <c r="Y216">
        <v>42</v>
      </c>
      <c r="Z216">
        <v>104</v>
      </c>
      <c r="AA216" t="s">
        <v>647</v>
      </c>
      <c r="AB216">
        <v>1</v>
      </c>
      <c r="AC216" t="s">
        <v>60</v>
      </c>
      <c r="AD216">
        <v>260.08999999999997</v>
      </c>
      <c r="AE216">
        <v>280.98</v>
      </c>
      <c r="AF216">
        <v>238.92</v>
      </c>
      <c r="AG216">
        <v>236</v>
      </c>
      <c r="AH216" t="s">
        <v>648</v>
      </c>
      <c r="AI216" t="s">
        <v>43</v>
      </c>
    </row>
    <row r="217" spans="1:35" x14ac:dyDescent="0.25">
      <c r="A217">
        <v>387</v>
      </c>
      <c r="B217" t="s">
        <v>649</v>
      </c>
      <c r="C217" t="s">
        <v>43</v>
      </c>
      <c r="D217">
        <v>30</v>
      </c>
      <c r="E217">
        <v>29290</v>
      </c>
      <c r="F217">
        <v>41</v>
      </c>
      <c r="G217">
        <v>29000</v>
      </c>
      <c r="H217">
        <v>0</v>
      </c>
      <c r="I217">
        <v>155</v>
      </c>
      <c r="J217">
        <v>0</v>
      </c>
      <c r="K217">
        <v>23892</v>
      </c>
      <c r="L217">
        <v>23600</v>
      </c>
      <c r="M217">
        <v>1</v>
      </c>
      <c r="N217">
        <v>-2639</v>
      </c>
      <c r="O217">
        <v>2761</v>
      </c>
      <c r="P217">
        <v>-26.39</v>
      </c>
      <c r="Q217">
        <v>27.61</v>
      </c>
      <c r="R217" t="s">
        <v>37</v>
      </c>
      <c r="S217" t="s">
        <v>1277</v>
      </c>
      <c r="T217" s="1">
        <v>43397.621562499997</v>
      </c>
      <c r="U217">
        <v>4</v>
      </c>
      <c r="V217" t="s">
        <v>55</v>
      </c>
      <c r="W217">
        <v>8</v>
      </c>
      <c r="X217" t="s">
        <v>118</v>
      </c>
      <c r="Y217">
        <v>42</v>
      </c>
      <c r="Z217">
        <v>103</v>
      </c>
      <c r="AA217" t="s">
        <v>647</v>
      </c>
      <c r="AB217">
        <v>1</v>
      </c>
      <c r="AC217" t="s">
        <v>60</v>
      </c>
      <c r="AD217">
        <v>290</v>
      </c>
      <c r="AE217">
        <v>292.89999999999998</v>
      </c>
      <c r="AF217">
        <v>238.92</v>
      </c>
      <c r="AG217">
        <v>236</v>
      </c>
      <c r="AH217" t="s">
        <v>650</v>
      </c>
      <c r="AI217" t="s">
        <v>43</v>
      </c>
    </row>
    <row r="218" spans="1:35" x14ac:dyDescent="0.25">
      <c r="A218">
        <v>388</v>
      </c>
      <c r="B218" t="s">
        <v>651</v>
      </c>
      <c r="C218" t="s">
        <v>652</v>
      </c>
      <c r="D218">
        <v>77</v>
      </c>
      <c r="E218">
        <v>2249</v>
      </c>
      <c r="F218">
        <v>39</v>
      </c>
      <c r="G218">
        <v>2012</v>
      </c>
      <c r="H218">
        <v>0</v>
      </c>
      <c r="I218">
        <v>180</v>
      </c>
      <c r="J218">
        <v>0</v>
      </c>
      <c r="K218">
        <v>2744</v>
      </c>
      <c r="L218">
        <v>2676</v>
      </c>
      <c r="M218">
        <v>1</v>
      </c>
      <c r="N218">
        <v>12.1</v>
      </c>
      <c r="O218">
        <v>-651.9</v>
      </c>
      <c r="P218">
        <v>0.12</v>
      </c>
      <c r="Q218">
        <v>-6.52</v>
      </c>
      <c r="R218" t="s">
        <v>59</v>
      </c>
      <c r="S218" t="s">
        <v>1277</v>
      </c>
      <c r="T218" s="1">
        <v>43397.621562499997</v>
      </c>
      <c r="U218">
        <v>2</v>
      </c>
      <c r="V218" t="s">
        <v>47</v>
      </c>
      <c r="W218">
        <v>4</v>
      </c>
      <c r="X218" t="s">
        <v>114</v>
      </c>
      <c r="Y218">
        <v>35</v>
      </c>
      <c r="Z218">
        <v>110</v>
      </c>
      <c r="AA218" t="s">
        <v>165</v>
      </c>
      <c r="AB218">
        <v>1</v>
      </c>
      <c r="AC218" t="s">
        <v>60</v>
      </c>
      <c r="AD218">
        <v>20.12</v>
      </c>
      <c r="AE218">
        <v>22.49</v>
      </c>
      <c r="AF218">
        <v>27.44</v>
      </c>
      <c r="AG218">
        <v>26.76</v>
      </c>
      <c r="AH218" t="s">
        <v>653</v>
      </c>
    </row>
    <row r="219" spans="1:35" x14ac:dyDescent="0.25">
      <c r="A219">
        <v>389</v>
      </c>
      <c r="B219" t="s">
        <v>654</v>
      </c>
      <c r="C219" t="s">
        <v>655</v>
      </c>
      <c r="D219">
        <v>34</v>
      </c>
      <c r="E219">
        <v>2995</v>
      </c>
      <c r="F219">
        <v>37</v>
      </c>
      <c r="G219">
        <v>2400</v>
      </c>
      <c r="H219">
        <v>0</v>
      </c>
      <c r="I219">
        <v>186</v>
      </c>
      <c r="J219">
        <v>0</v>
      </c>
      <c r="K219">
        <v>2678</v>
      </c>
      <c r="L219">
        <v>2612</v>
      </c>
      <c r="M219">
        <v>1</v>
      </c>
      <c r="N219">
        <v>295.5</v>
      </c>
      <c r="O219">
        <v>83.5</v>
      </c>
      <c r="P219">
        <v>2.96</v>
      </c>
      <c r="Q219">
        <v>0.84</v>
      </c>
      <c r="R219" t="s">
        <v>59</v>
      </c>
      <c r="S219" t="s">
        <v>1277</v>
      </c>
      <c r="T219" s="1">
        <v>43397.621562499997</v>
      </c>
      <c r="U219">
        <v>2</v>
      </c>
      <c r="V219" t="s">
        <v>47</v>
      </c>
      <c r="W219">
        <v>4</v>
      </c>
      <c r="X219" t="s">
        <v>114</v>
      </c>
      <c r="Y219">
        <v>35</v>
      </c>
      <c r="Z219">
        <v>113</v>
      </c>
      <c r="AA219" t="s">
        <v>165</v>
      </c>
      <c r="AB219">
        <v>3</v>
      </c>
      <c r="AC219" t="s">
        <v>72</v>
      </c>
      <c r="AD219">
        <v>24</v>
      </c>
      <c r="AE219">
        <v>29.95</v>
      </c>
      <c r="AF219">
        <v>26.78</v>
      </c>
      <c r="AG219">
        <v>26.12</v>
      </c>
      <c r="AH219" t="s">
        <v>656</v>
      </c>
    </row>
    <row r="220" spans="1:35" x14ac:dyDescent="0.25">
      <c r="A220">
        <v>390</v>
      </c>
      <c r="B220" t="s">
        <v>657</v>
      </c>
      <c r="C220" t="s">
        <v>652</v>
      </c>
      <c r="D220">
        <v>76</v>
      </c>
      <c r="E220">
        <v>2334</v>
      </c>
      <c r="F220">
        <v>72</v>
      </c>
      <c r="G220">
        <v>2282</v>
      </c>
      <c r="H220">
        <v>0</v>
      </c>
      <c r="I220">
        <v>165</v>
      </c>
      <c r="J220">
        <v>0</v>
      </c>
      <c r="K220">
        <v>2768</v>
      </c>
      <c r="L220">
        <v>2698</v>
      </c>
      <c r="M220">
        <v>1</v>
      </c>
      <c r="N220">
        <v>-181.4</v>
      </c>
      <c r="O220">
        <v>-597.4</v>
      </c>
      <c r="P220">
        <v>-1.81</v>
      </c>
      <c r="Q220">
        <v>-5.97</v>
      </c>
      <c r="R220" t="s">
        <v>59</v>
      </c>
      <c r="S220" t="s">
        <v>1277</v>
      </c>
      <c r="T220" s="1">
        <v>43397.621562499997</v>
      </c>
      <c r="U220">
        <v>2</v>
      </c>
      <c r="V220" t="s">
        <v>47</v>
      </c>
      <c r="W220">
        <v>4</v>
      </c>
      <c r="X220" t="s">
        <v>114</v>
      </c>
      <c r="Y220">
        <v>35</v>
      </c>
      <c r="Z220">
        <v>109</v>
      </c>
      <c r="AA220" t="s">
        <v>165</v>
      </c>
      <c r="AB220">
        <v>1</v>
      </c>
      <c r="AC220" t="s">
        <v>60</v>
      </c>
      <c r="AD220">
        <v>22.82</v>
      </c>
      <c r="AE220">
        <v>23.34</v>
      </c>
      <c r="AF220">
        <v>27.68</v>
      </c>
      <c r="AG220">
        <v>26.98</v>
      </c>
      <c r="AH220" t="s">
        <v>658</v>
      </c>
    </row>
    <row r="221" spans="1:35" x14ac:dyDescent="0.25">
      <c r="A221">
        <v>391</v>
      </c>
      <c r="B221" t="s">
        <v>659</v>
      </c>
      <c r="C221" t="s">
        <v>660</v>
      </c>
      <c r="D221">
        <v>10</v>
      </c>
      <c r="E221">
        <v>208999</v>
      </c>
      <c r="F221">
        <v>11</v>
      </c>
      <c r="G221">
        <v>190050</v>
      </c>
      <c r="H221">
        <v>0</v>
      </c>
      <c r="I221">
        <v>39</v>
      </c>
      <c r="J221">
        <v>0</v>
      </c>
      <c r="K221">
        <v>206402</v>
      </c>
      <c r="L221">
        <v>198853</v>
      </c>
      <c r="M221">
        <v>1</v>
      </c>
      <c r="N221">
        <v>-1950.9</v>
      </c>
      <c r="O221">
        <v>-10753.9</v>
      </c>
      <c r="P221">
        <v>-19.510000000000002</v>
      </c>
      <c r="Q221">
        <v>-107.54</v>
      </c>
      <c r="R221" t="s">
        <v>59</v>
      </c>
      <c r="S221" t="s">
        <v>1277</v>
      </c>
      <c r="T221" s="1">
        <v>43397.621562499997</v>
      </c>
      <c r="U221">
        <v>4</v>
      </c>
      <c r="V221" t="s">
        <v>55</v>
      </c>
      <c r="W221">
        <v>2</v>
      </c>
      <c r="X221" t="s">
        <v>39</v>
      </c>
      <c r="Y221">
        <v>43</v>
      </c>
      <c r="Z221">
        <v>105</v>
      </c>
      <c r="AA221" t="s">
        <v>661</v>
      </c>
      <c r="AB221">
        <v>5</v>
      </c>
      <c r="AC221" t="s">
        <v>599</v>
      </c>
      <c r="AD221">
        <v>1900.5</v>
      </c>
      <c r="AE221">
        <v>2089.9899999999998</v>
      </c>
      <c r="AF221">
        <v>2064.02</v>
      </c>
      <c r="AG221">
        <v>1988.53</v>
      </c>
      <c r="AH221" t="s">
        <v>662</v>
      </c>
    </row>
    <row r="222" spans="1:35" x14ac:dyDescent="0.25">
      <c r="A222">
        <v>393</v>
      </c>
      <c r="B222" t="s">
        <v>663</v>
      </c>
      <c r="C222" t="s">
        <v>48</v>
      </c>
      <c r="D222">
        <v>11</v>
      </c>
      <c r="E222">
        <v>5374</v>
      </c>
      <c r="F222">
        <v>6</v>
      </c>
      <c r="G222">
        <v>3976</v>
      </c>
      <c r="H222">
        <v>0</v>
      </c>
      <c r="I222">
        <v>356</v>
      </c>
      <c r="J222">
        <v>1</v>
      </c>
      <c r="K222">
        <v>13679</v>
      </c>
      <c r="L222">
        <v>13098</v>
      </c>
      <c r="M222">
        <v>1</v>
      </c>
      <c r="N222">
        <v>860.6</v>
      </c>
      <c r="O222">
        <v>-8261.4</v>
      </c>
      <c r="P222">
        <v>8.61</v>
      </c>
      <c r="Q222">
        <v>-82.61</v>
      </c>
      <c r="R222" t="s">
        <v>59</v>
      </c>
      <c r="S222" t="s">
        <v>1277</v>
      </c>
      <c r="T222" s="1">
        <v>43397.621562499997</v>
      </c>
      <c r="U222">
        <v>3</v>
      </c>
      <c r="V222" t="s">
        <v>38</v>
      </c>
      <c r="W222">
        <v>7</v>
      </c>
      <c r="X222" t="s">
        <v>49</v>
      </c>
      <c r="Y222">
        <v>10</v>
      </c>
      <c r="Z222">
        <v>107</v>
      </c>
      <c r="AA222" t="s">
        <v>50</v>
      </c>
      <c r="AB222">
        <v>1</v>
      </c>
      <c r="AC222" t="s">
        <v>60</v>
      </c>
      <c r="AD222">
        <v>39.76</v>
      </c>
      <c r="AE222">
        <v>53.74</v>
      </c>
      <c r="AF222">
        <v>136.79</v>
      </c>
      <c r="AG222">
        <v>130.97999999999999</v>
      </c>
      <c r="AH222" t="s">
        <v>664</v>
      </c>
      <c r="AI222" t="s">
        <v>43</v>
      </c>
    </row>
    <row r="223" spans="1:35" x14ac:dyDescent="0.25">
      <c r="A223">
        <v>395</v>
      </c>
      <c r="B223" t="s">
        <v>665</v>
      </c>
      <c r="C223" t="s">
        <v>655</v>
      </c>
      <c r="D223">
        <v>33</v>
      </c>
      <c r="E223">
        <v>2929</v>
      </c>
      <c r="F223">
        <v>66</v>
      </c>
      <c r="G223">
        <v>1724</v>
      </c>
      <c r="H223">
        <v>0</v>
      </c>
      <c r="I223">
        <v>239</v>
      </c>
      <c r="J223">
        <v>0</v>
      </c>
      <c r="K223">
        <v>2532</v>
      </c>
      <c r="L223">
        <v>2490</v>
      </c>
      <c r="M223">
        <v>1</v>
      </c>
      <c r="N223">
        <v>912.1</v>
      </c>
      <c r="O223">
        <v>146.1</v>
      </c>
      <c r="P223">
        <v>9.1199999999999992</v>
      </c>
      <c r="Q223">
        <v>1.46</v>
      </c>
      <c r="R223" t="s">
        <v>59</v>
      </c>
      <c r="S223" t="s">
        <v>1277</v>
      </c>
      <c r="T223" s="1">
        <v>43397.621562499997</v>
      </c>
      <c r="U223">
        <v>2</v>
      </c>
      <c r="V223" t="s">
        <v>47</v>
      </c>
      <c r="W223">
        <v>4</v>
      </c>
      <c r="X223" t="s">
        <v>114</v>
      </c>
      <c r="Y223">
        <v>35</v>
      </c>
      <c r="Z223">
        <v>114</v>
      </c>
      <c r="AA223" t="s">
        <v>165</v>
      </c>
      <c r="AB223">
        <v>3</v>
      </c>
      <c r="AC223" t="s">
        <v>72</v>
      </c>
      <c r="AD223">
        <v>17.239999999999998</v>
      </c>
      <c r="AE223">
        <v>29.29</v>
      </c>
      <c r="AF223">
        <v>25.32</v>
      </c>
      <c r="AG223">
        <v>24.9</v>
      </c>
      <c r="AH223" t="s">
        <v>666</v>
      </c>
    </row>
    <row r="224" spans="1:35" x14ac:dyDescent="0.25">
      <c r="A224">
        <v>396</v>
      </c>
      <c r="B224" t="s">
        <v>667</v>
      </c>
      <c r="C224" t="s">
        <v>401</v>
      </c>
      <c r="D224">
        <v>130</v>
      </c>
      <c r="E224">
        <v>177</v>
      </c>
      <c r="F224">
        <v>159</v>
      </c>
      <c r="G224">
        <v>132</v>
      </c>
      <c r="H224">
        <v>0</v>
      </c>
      <c r="I224">
        <v>214</v>
      </c>
      <c r="J224">
        <v>0</v>
      </c>
      <c r="K224">
        <v>0</v>
      </c>
      <c r="L224">
        <v>0</v>
      </c>
      <c r="M224">
        <v>1</v>
      </c>
      <c r="N224">
        <v>27.3</v>
      </c>
      <c r="O224">
        <v>159.30000000000001</v>
      </c>
      <c r="P224">
        <v>0.27</v>
      </c>
      <c r="Q224">
        <v>1.59</v>
      </c>
      <c r="R224" t="s">
        <v>37</v>
      </c>
      <c r="S224" t="s">
        <v>1277</v>
      </c>
      <c r="T224" s="1">
        <v>43397.621562499997</v>
      </c>
      <c r="U224">
        <v>1</v>
      </c>
      <c r="V224" t="s">
        <v>44</v>
      </c>
      <c r="W224">
        <v>6</v>
      </c>
      <c r="X224" t="s">
        <v>350</v>
      </c>
      <c r="Y224">
        <v>2</v>
      </c>
      <c r="Z224">
        <v>0</v>
      </c>
      <c r="AA224" t="s">
        <v>351</v>
      </c>
      <c r="AB224">
        <v>0</v>
      </c>
      <c r="AC224" t="s">
        <v>43</v>
      </c>
      <c r="AD224">
        <v>1.32</v>
      </c>
      <c r="AE224">
        <v>1.77</v>
      </c>
      <c r="AF224">
        <v>0</v>
      </c>
      <c r="AG224">
        <v>0</v>
      </c>
      <c r="AH224" t="s">
        <v>668</v>
      </c>
    </row>
    <row r="225" spans="1:35" x14ac:dyDescent="0.25">
      <c r="A225">
        <v>397</v>
      </c>
      <c r="B225" t="s">
        <v>669</v>
      </c>
      <c r="C225" t="s">
        <v>287</v>
      </c>
      <c r="D225">
        <v>24</v>
      </c>
      <c r="E225">
        <v>1599</v>
      </c>
      <c r="F225">
        <v>13</v>
      </c>
      <c r="G225">
        <v>910</v>
      </c>
      <c r="H225">
        <v>0</v>
      </c>
      <c r="I225">
        <v>251</v>
      </c>
      <c r="J225">
        <v>0</v>
      </c>
      <c r="K225">
        <v>0</v>
      </c>
      <c r="L225">
        <v>0</v>
      </c>
      <c r="M225">
        <v>1</v>
      </c>
      <c r="N225">
        <v>529.1</v>
      </c>
      <c r="O225">
        <v>1439.1</v>
      </c>
      <c r="P225">
        <v>5.29</v>
      </c>
      <c r="Q225">
        <v>14.39</v>
      </c>
      <c r="R225" t="s">
        <v>37</v>
      </c>
      <c r="S225" t="s">
        <v>1277</v>
      </c>
      <c r="T225" s="1">
        <v>43397.621562499997</v>
      </c>
      <c r="U225">
        <v>5</v>
      </c>
      <c r="V225" t="s">
        <v>140</v>
      </c>
      <c r="W225">
        <v>7</v>
      </c>
      <c r="X225" t="s">
        <v>49</v>
      </c>
      <c r="Y225">
        <v>10</v>
      </c>
      <c r="Z225">
        <v>0</v>
      </c>
      <c r="AA225" t="s">
        <v>50</v>
      </c>
      <c r="AB225">
        <v>0</v>
      </c>
      <c r="AC225" t="s">
        <v>43</v>
      </c>
      <c r="AD225">
        <v>9.1</v>
      </c>
      <c r="AE225">
        <v>15.99</v>
      </c>
      <c r="AF225">
        <v>0</v>
      </c>
      <c r="AG225">
        <v>0</v>
      </c>
      <c r="AH225" t="s">
        <v>670</v>
      </c>
      <c r="AI225" t="s">
        <v>43</v>
      </c>
    </row>
    <row r="226" spans="1:35" x14ac:dyDescent="0.25">
      <c r="A226">
        <v>398</v>
      </c>
      <c r="B226" t="s">
        <v>671</v>
      </c>
      <c r="C226" t="s">
        <v>287</v>
      </c>
      <c r="D226">
        <v>13</v>
      </c>
      <c r="E226">
        <v>4312</v>
      </c>
      <c r="F226">
        <v>5</v>
      </c>
      <c r="G226">
        <v>3254</v>
      </c>
      <c r="H226">
        <v>0</v>
      </c>
      <c r="I226">
        <v>365</v>
      </c>
      <c r="J226">
        <v>0</v>
      </c>
      <c r="K226">
        <v>0</v>
      </c>
      <c r="L226">
        <v>0</v>
      </c>
      <c r="M226">
        <v>1</v>
      </c>
      <c r="N226">
        <v>626.79999999999995</v>
      </c>
      <c r="O226">
        <v>3880.8</v>
      </c>
      <c r="P226">
        <v>6.27</v>
      </c>
      <c r="Q226">
        <v>38.81</v>
      </c>
      <c r="R226" t="s">
        <v>37</v>
      </c>
      <c r="S226" t="s">
        <v>1277</v>
      </c>
      <c r="T226" s="1">
        <v>43397.621562499997</v>
      </c>
      <c r="U226">
        <v>1</v>
      </c>
      <c r="V226" t="s">
        <v>44</v>
      </c>
      <c r="W226">
        <v>7</v>
      </c>
      <c r="X226" t="s">
        <v>49</v>
      </c>
      <c r="Y226">
        <v>10</v>
      </c>
      <c r="Z226">
        <v>0</v>
      </c>
      <c r="AA226" t="s">
        <v>50</v>
      </c>
      <c r="AB226">
        <v>0</v>
      </c>
      <c r="AC226" t="s">
        <v>43</v>
      </c>
      <c r="AD226">
        <v>32.54</v>
      </c>
      <c r="AE226">
        <v>43.12</v>
      </c>
      <c r="AF226">
        <v>0</v>
      </c>
      <c r="AG226">
        <v>0</v>
      </c>
      <c r="AH226" t="s">
        <v>672</v>
      </c>
      <c r="AI226" t="s">
        <v>43</v>
      </c>
    </row>
    <row r="227" spans="1:35" x14ac:dyDescent="0.25">
      <c r="A227">
        <v>399</v>
      </c>
      <c r="B227" t="s">
        <v>673</v>
      </c>
      <c r="C227" t="s">
        <v>674</v>
      </c>
      <c r="D227">
        <v>55</v>
      </c>
      <c r="E227">
        <v>200</v>
      </c>
      <c r="F227">
        <v>53</v>
      </c>
      <c r="G227">
        <v>127</v>
      </c>
      <c r="H227">
        <v>0</v>
      </c>
      <c r="I227">
        <v>163</v>
      </c>
      <c r="J227">
        <v>0</v>
      </c>
      <c r="K227">
        <v>0</v>
      </c>
      <c r="L227">
        <v>0</v>
      </c>
      <c r="M227">
        <v>1</v>
      </c>
      <c r="N227">
        <v>53</v>
      </c>
      <c r="O227">
        <v>180</v>
      </c>
      <c r="P227">
        <v>0.53</v>
      </c>
      <c r="Q227">
        <v>1.8</v>
      </c>
      <c r="R227" t="s">
        <v>37</v>
      </c>
      <c r="S227" t="s">
        <v>1277</v>
      </c>
      <c r="T227" s="1">
        <v>43397.621562499997</v>
      </c>
      <c r="U227">
        <v>1</v>
      </c>
      <c r="V227" t="s">
        <v>44</v>
      </c>
      <c r="W227">
        <v>6</v>
      </c>
      <c r="X227" t="s">
        <v>350</v>
      </c>
      <c r="Y227">
        <v>2</v>
      </c>
      <c r="Z227">
        <v>0</v>
      </c>
      <c r="AA227" t="s">
        <v>351</v>
      </c>
      <c r="AB227">
        <v>0</v>
      </c>
      <c r="AC227" t="s">
        <v>43</v>
      </c>
      <c r="AD227">
        <v>1.27</v>
      </c>
      <c r="AE227">
        <v>2</v>
      </c>
      <c r="AF227">
        <v>0</v>
      </c>
      <c r="AG227">
        <v>0</v>
      </c>
      <c r="AH227" t="s">
        <v>675</v>
      </c>
    </row>
    <row r="228" spans="1:35" x14ac:dyDescent="0.25">
      <c r="A228">
        <v>400</v>
      </c>
      <c r="B228" t="s">
        <v>676</v>
      </c>
      <c r="C228" t="s">
        <v>287</v>
      </c>
      <c r="D228">
        <v>5</v>
      </c>
      <c r="E228">
        <v>3998</v>
      </c>
      <c r="F228">
        <v>9</v>
      </c>
      <c r="G228">
        <v>3011</v>
      </c>
      <c r="H228">
        <v>0</v>
      </c>
      <c r="I228">
        <v>340</v>
      </c>
      <c r="J228">
        <v>0</v>
      </c>
      <c r="K228">
        <v>0</v>
      </c>
      <c r="L228">
        <v>0</v>
      </c>
      <c r="M228">
        <v>1</v>
      </c>
      <c r="N228">
        <v>587.20000000000005</v>
      </c>
      <c r="O228">
        <v>3598.2</v>
      </c>
      <c r="P228">
        <v>5.87</v>
      </c>
      <c r="Q228">
        <v>35.979999999999997</v>
      </c>
      <c r="R228" t="s">
        <v>37</v>
      </c>
      <c r="S228" t="s">
        <v>1277</v>
      </c>
      <c r="T228" s="1">
        <v>43397.621562499997</v>
      </c>
      <c r="U228">
        <v>1</v>
      </c>
      <c r="V228" t="s">
        <v>44</v>
      </c>
      <c r="W228">
        <v>6</v>
      </c>
      <c r="X228" t="s">
        <v>350</v>
      </c>
      <c r="Y228">
        <v>10</v>
      </c>
      <c r="Z228">
        <v>0</v>
      </c>
      <c r="AA228" t="s">
        <v>50</v>
      </c>
      <c r="AB228">
        <v>0</v>
      </c>
      <c r="AC228" t="s">
        <v>43</v>
      </c>
      <c r="AD228">
        <v>30.11</v>
      </c>
      <c r="AE228">
        <v>39.979999999999997</v>
      </c>
      <c r="AF228">
        <v>0</v>
      </c>
      <c r="AG228">
        <v>0</v>
      </c>
      <c r="AH228" t="s">
        <v>677</v>
      </c>
      <c r="AI228" t="s">
        <v>43</v>
      </c>
    </row>
    <row r="229" spans="1:35" x14ac:dyDescent="0.25">
      <c r="A229">
        <v>401</v>
      </c>
      <c r="B229" t="s">
        <v>678</v>
      </c>
      <c r="C229" t="s">
        <v>48</v>
      </c>
      <c r="D229">
        <v>51</v>
      </c>
      <c r="E229">
        <v>2699</v>
      </c>
      <c r="F229">
        <v>22</v>
      </c>
      <c r="G229">
        <v>2001</v>
      </c>
      <c r="H229">
        <v>0</v>
      </c>
      <c r="I229">
        <v>355</v>
      </c>
      <c r="J229">
        <v>1</v>
      </c>
      <c r="K229">
        <v>3442</v>
      </c>
      <c r="L229">
        <v>2581</v>
      </c>
      <c r="M229">
        <v>1</v>
      </c>
      <c r="N229">
        <v>428.1</v>
      </c>
      <c r="O229">
        <v>-151.9</v>
      </c>
      <c r="P229">
        <v>4.28</v>
      </c>
      <c r="Q229">
        <v>-1.52</v>
      </c>
      <c r="R229" t="s">
        <v>59</v>
      </c>
      <c r="S229" t="s">
        <v>1277</v>
      </c>
      <c r="T229" s="1">
        <v>43397.621562499997</v>
      </c>
      <c r="U229">
        <v>2</v>
      </c>
      <c r="V229" t="s">
        <v>47</v>
      </c>
      <c r="W229">
        <v>7</v>
      </c>
      <c r="X229" t="s">
        <v>49</v>
      </c>
      <c r="Y229">
        <v>10</v>
      </c>
      <c r="Z229">
        <v>106</v>
      </c>
      <c r="AA229" t="s">
        <v>50</v>
      </c>
      <c r="AB229">
        <v>1</v>
      </c>
      <c r="AC229" t="s">
        <v>60</v>
      </c>
      <c r="AD229">
        <v>20.010000000000002</v>
      </c>
      <c r="AE229">
        <v>26.99</v>
      </c>
      <c r="AF229">
        <v>34.42</v>
      </c>
      <c r="AG229">
        <v>25.81</v>
      </c>
      <c r="AH229" t="s">
        <v>679</v>
      </c>
      <c r="AI229" t="s">
        <v>43</v>
      </c>
    </row>
    <row r="230" spans="1:35" x14ac:dyDescent="0.25">
      <c r="A230">
        <v>402</v>
      </c>
      <c r="B230" t="s">
        <v>680</v>
      </c>
      <c r="C230" t="s">
        <v>287</v>
      </c>
      <c r="D230">
        <v>15</v>
      </c>
      <c r="E230">
        <v>2991</v>
      </c>
      <c r="F230">
        <v>14</v>
      </c>
      <c r="G230">
        <v>1855</v>
      </c>
      <c r="H230">
        <v>0</v>
      </c>
      <c r="I230">
        <v>304</v>
      </c>
      <c r="J230">
        <v>0</v>
      </c>
      <c r="K230">
        <v>0</v>
      </c>
      <c r="L230">
        <v>0</v>
      </c>
      <c r="M230">
        <v>1</v>
      </c>
      <c r="N230">
        <v>836.9</v>
      </c>
      <c r="O230">
        <v>2691.9</v>
      </c>
      <c r="P230">
        <v>8.3699999999999992</v>
      </c>
      <c r="Q230">
        <v>26.92</v>
      </c>
      <c r="R230" t="s">
        <v>37</v>
      </c>
      <c r="S230" t="s">
        <v>1277</v>
      </c>
      <c r="T230" s="1">
        <v>43397.621562499997</v>
      </c>
      <c r="U230">
        <v>5</v>
      </c>
      <c r="V230" t="s">
        <v>140</v>
      </c>
      <c r="W230">
        <v>7</v>
      </c>
      <c r="X230" t="s">
        <v>49</v>
      </c>
      <c r="Y230">
        <v>10</v>
      </c>
      <c r="Z230">
        <v>0</v>
      </c>
      <c r="AA230" t="s">
        <v>50</v>
      </c>
      <c r="AB230">
        <v>0</v>
      </c>
      <c r="AC230" t="s">
        <v>43</v>
      </c>
      <c r="AD230">
        <v>18.55</v>
      </c>
      <c r="AE230">
        <v>29.91</v>
      </c>
      <c r="AF230">
        <v>0</v>
      </c>
      <c r="AG230">
        <v>0</v>
      </c>
      <c r="AH230" t="s">
        <v>681</v>
      </c>
      <c r="AI230" t="s">
        <v>43</v>
      </c>
    </row>
    <row r="231" spans="1:35" x14ac:dyDescent="0.25">
      <c r="A231">
        <v>403</v>
      </c>
      <c r="B231" t="s">
        <v>682</v>
      </c>
      <c r="C231" t="s">
        <v>287</v>
      </c>
      <c r="D231">
        <v>6</v>
      </c>
      <c r="E231">
        <v>28889</v>
      </c>
      <c r="F231">
        <v>5</v>
      </c>
      <c r="G231">
        <v>20931</v>
      </c>
      <c r="H231">
        <v>0</v>
      </c>
      <c r="I231">
        <v>422</v>
      </c>
      <c r="J231">
        <v>0</v>
      </c>
      <c r="K231">
        <v>0</v>
      </c>
      <c r="L231">
        <v>0</v>
      </c>
      <c r="M231">
        <v>1</v>
      </c>
      <c r="N231">
        <v>5069.1000000000004</v>
      </c>
      <c r="O231">
        <v>26000.1</v>
      </c>
      <c r="P231">
        <v>50.69</v>
      </c>
      <c r="Q231">
        <v>260</v>
      </c>
      <c r="R231" t="s">
        <v>37</v>
      </c>
      <c r="S231" t="s">
        <v>1277</v>
      </c>
      <c r="T231" s="1">
        <v>43397.621562499997</v>
      </c>
      <c r="U231">
        <v>2</v>
      </c>
      <c r="V231" t="s">
        <v>47</v>
      </c>
      <c r="W231">
        <v>7</v>
      </c>
      <c r="X231" t="s">
        <v>49</v>
      </c>
      <c r="Y231">
        <v>10</v>
      </c>
      <c r="Z231">
        <v>0</v>
      </c>
      <c r="AA231" t="s">
        <v>50</v>
      </c>
      <c r="AB231">
        <v>0</v>
      </c>
      <c r="AC231" t="s">
        <v>43</v>
      </c>
      <c r="AD231">
        <v>209.31</v>
      </c>
      <c r="AE231">
        <v>288.89</v>
      </c>
      <c r="AF231">
        <v>0</v>
      </c>
      <c r="AG231">
        <v>0</v>
      </c>
      <c r="AH231" t="s">
        <v>683</v>
      </c>
      <c r="AI231" t="s">
        <v>43</v>
      </c>
    </row>
    <row r="232" spans="1:35" x14ac:dyDescent="0.25">
      <c r="A232">
        <v>404</v>
      </c>
      <c r="B232" t="s">
        <v>684</v>
      </c>
      <c r="C232" t="s">
        <v>674</v>
      </c>
      <c r="D232">
        <v>67</v>
      </c>
      <c r="E232">
        <v>222</v>
      </c>
      <c r="F232">
        <v>35</v>
      </c>
      <c r="G232">
        <v>190</v>
      </c>
      <c r="H232">
        <v>0</v>
      </c>
      <c r="I232">
        <v>148</v>
      </c>
      <c r="J232">
        <v>0</v>
      </c>
      <c r="K232">
        <v>0</v>
      </c>
      <c r="L232">
        <v>0</v>
      </c>
      <c r="M232">
        <v>1</v>
      </c>
      <c r="N232">
        <v>9.8000000000000007</v>
      </c>
      <c r="O232">
        <v>199.8</v>
      </c>
      <c r="P232">
        <v>0.1</v>
      </c>
      <c r="Q232">
        <v>2</v>
      </c>
      <c r="R232" t="s">
        <v>37</v>
      </c>
      <c r="S232" t="s">
        <v>1277</v>
      </c>
      <c r="T232" s="1">
        <v>43397.621562499997</v>
      </c>
      <c r="U232">
        <v>1</v>
      </c>
      <c r="V232" t="s">
        <v>44</v>
      </c>
      <c r="W232">
        <v>6</v>
      </c>
      <c r="X232" t="s">
        <v>350</v>
      </c>
      <c r="Y232">
        <v>2</v>
      </c>
      <c r="Z232">
        <v>0</v>
      </c>
      <c r="AA232" t="s">
        <v>351</v>
      </c>
      <c r="AB232">
        <v>0</v>
      </c>
      <c r="AC232" t="s">
        <v>43</v>
      </c>
      <c r="AD232">
        <v>1.9</v>
      </c>
      <c r="AE232">
        <v>2.2200000000000002</v>
      </c>
      <c r="AF232">
        <v>0</v>
      </c>
      <c r="AG232">
        <v>0</v>
      </c>
      <c r="AH232" t="s">
        <v>685</v>
      </c>
    </row>
    <row r="233" spans="1:35" x14ac:dyDescent="0.25">
      <c r="A233">
        <v>405</v>
      </c>
      <c r="B233" t="s">
        <v>686</v>
      </c>
      <c r="C233" t="s">
        <v>287</v>
      </c>
      <c r="D233">
        <v>6</v>
      </c>
      <c r="E233">
        <v>4290</v>
      </c>
      <c r="F233">
        <v>12</v>
      </c>
      <c r="G233">
        <v>4289</v>
      </c>
      <c r="H233">
        <v>0</v>
      </c>
      <c r="I233">
        <v>366</v>
      </c>
      <c r="J233">
        <v>0</v>
      </c>
      <c r="K233">
        <v>0</v>
      </c>
      <c r="L233">
        <v>0</v>
      </c>
      <c r="M233">
        <v>1</v>
      </c>
      <c r="N233">
        <v>-428</v>
      </c>
      <c r="O233">
        <v>3861</v>
      </c>
      <c r="P233">
        <v>-4.28</v>
      </c>
      <c r="Q233">
        <v>38.61</v>
      </c>
      <c r="R233" t="s">
        <v>37</v>
      </c>
      <c r="S233" t="s">
        <v>1277</v>
      </c>
      <c r="T233" s="1">
        <v>43397.621562499997</v>
      </c>
      <c r="U233">
        <v>1</v>
      </c>
      <c r="V233" t="s">
        <v>44</v>
      </c>
      <c r="W233">
        <v>7</v>
      </c>
      <c r="X233" t="s">
        <v>49</v>
      </c>
      <c r="Y233">
        <v>10</v>
      </c>
      <c r="Z233">
        <v>0</v>
      </c>
      <c r="AA233" t="s">
        <v>50</v>
      </c>
      <c r="AB233">
        <v>0</v>
      </c>
      <c r="AC233" t="s">
        <v>43</v>
      </c>
      <c r="AD233">
        <v>42.89</v>
      </c>
      <c r="AE233">
        <v>42.9</v>
      </c>
      <c r="AF233">
        <v>0</v>
      </c>
      <c r="AG233">
        <v>0</v>
      </c>
      <c r="AH233" t="s">
        <v>687</v>
      </c>
      <c r="AI233" t="s">
        <v>43</v>
      </c>
    </row>
    <row r="234" spans="1:35" x14ac:dyDescent="0.25">
      <c r="A234">
        <v>406</v>
      </c>
      <c r="B234" t="s">
        <v>688</v>
      </c>
      <c r="C234" t="s">
        <v>344</v>
      </c>
      <c r="D234">
        <v>10</v>
      </c>
      <c r="E234">
        <v>129498</v>
      </c>
      <c r="F234">
        <v>27</v>
      </c>
      <c r="G234">
        <v>72102</v>
      </c>
      <c r="H234">
        <v>0</v>
      </c>
      <c r="I234">
        <v>333</v>
      </c>
      <c r="J234">
        <v>0</v>
      </c>
      <c r="K234">
        <v>0</v>
      </c>
      <c r="L234">
        <v>0</v>
      </c>
      <c r="M234">
        <v>1</v>
      </c>
      <c r="N234">
        <v>44446.2</v>
      </c>
      <c r="O234">
        <v>116548.2</v>
      </c>
      <c r="P234">
        <v>444.46</v>
      </c>
      <c r="Q234">
        <v>1165.48</v>
      </c>
      <c r="R234" t="s">
        <v>37</v>
      </c>
      <c r="S234" t="s">
        <v>1277</v>
      </c>
      <c r="T234" s="1">
        <v>43397.621562499997</v>
      </c>
      <c r="U234">
        <v>2</v>
      </c>
      <c r="V234" t="s">
        <v>47</v>
      </c>
      <c r="W234">
        <v>7</v>
      </c>
      <c r="X234" t="s">
        <v>49</v>
      </c>
      <c r="Y234">
        <v>10</v>
      </c>
      <c r="Z234">
        <v>0</v>
      </c>
      <c r="AA234" t="s">
        <v>50</v>
      </c>
      <c r="AB234">
        <v>0</v>
      </c>
      <c r="AC234" t="s">
        <v>43</v>
      </c>
      <c r="AD234">
        <v>721.02</v>
      </c>
      <c r="AE234">
        <v>1294.98</v>
      </c>
      <c r="AF234">
        <v>0</v>
      </c>
      <c r="AG234">
        <v>0</v>
      </c>
      <c r="AH234" t="s">
        <v>689</v>
      </c>
      <c r="AI234" t="s">
        <v>43</v>
      </c>
    </row>
    <row r="235" spans="1:35" x14ac:dyDescent="0.25">
      <c r="A235">
        <v>407</v>
      </c>
      <c r="B235" t="s">
        <v>690</v>
      </c>
      <c r="C235" t="s">
        <v>287</v>
      </c>
      <c r="D235">
        <v>15</v>
      </c>
      <c r="E235">
        <v>3778</v>
      </c>
      <c r="F235">
        <v>9</v>
      </c>
      <c r="G235">
        <v>2900</v>
      </c>
      <c r="H235">
        <v>0</v>
      </c>
      <c r="I235">
        <v>353</v>
      </c>
      <c r="J235">
        <v>0</v>
      </c>
      <c r="K235">
        <v>0</v>
      </c>
      <c r="L235">
        <v>0</v>
      </c>
      <c r="M235">
        <v>1</v>
      </c>
      <c r="N235">
        <v>500.2</v>
      </c>
      <c r="O235">
        <v>3400.2</v>
      </c>
      <c r="P235">
        <v>5</v>
      </c>
      <c r="Q235">
        <v>34</v>
      </c>
      <c r="R235" t="s">
        <v>37</v>
      </c>
      <c r="S235" t="s">
        <v>1277</v>
      </c>
      <c r="T235" s="1">
        <v>43397.621562499997</v>
      </c>
      <c r="U235">
        <v>1</v>
      </c>
      <c r="V235" t="s">
        <v>44</v>
      </c>
      <c r="W235">
        <v>7</v>
      </c>
      <c r="X235" t="s">
        <v>49</v>
      </c>
      <c r="Y235">
        <v>10</v>
      </c>
      <c r="Z235">
        <v>0</v>
      </c>
      <c r="AA235" t="s">
        <v>50</v>
      </c>
      <c r="AB235">
        <v>0</v>
      </c>
      <c r="AC235" t="s">
        <v>43</v>
      </c>
      <c r="AD235">
        <v>29</v>
      </c>
      <c r="AE235">
        <v>37.78</v>
      </c>
      <c r="AF235">
        <v>0</v>
      </c>
      <c r="AG235">
        <v>0</v>
      </c>
      <c r="AH235" t="s">
        <v>691</v>
      </c>
      <c r="AI235" t="s">
        <v>43</v>
      </c>
    </row>
    <row r="236" spans="1:35" x14ac:dyDescent="0.25">
      <c r="A236">
        <v>408</v>
      </c>
      <c r="B236" t="s">
        <v>692</v>
      </c>
      <c r="C236" t="s">
        <v>287</v>
      </c>
      <c r="D236">
        <v>15</v>
      </c>
      <c r="E236">
        <v>4240</v>
      </c>
      <c r="F236">
        <v>7</v>
      </c>
      <c r="G236">
        <v>3001</v>
      </c>
      <c r="H236">
        <v>0</v>
      </c>
      <c r="I236">
        <v>363</v>
      </c>
      <c r="J236">
        <v>0</v>
      </c>
      <c r="K236">
        <v>0</v>
      </c>
      <c r="L236">
        <v>0</v>
      </c>
      <c r="M236">
        <v>1</v>
      </c>
      <c r="N236">
        <v>815</v>
      </c>
      <c r="O236">
        <v>3816</v>
      </c>
      <c r="P236">
        <v>8.15</v>
      </c>
      <c r="Q236">
        <v>38.159999999999997</v>
      </c>
      <c r="R236" t="s">
        <v>37</v>
      </c>
      <c r="S236" t="s">
        <v>1277</v>
      </c>
      <c r="T236" s="1">
        <v>43397.621562499997</v>
      </c>
      <c r="U236">
        <v>1</v>
      </c>
      <c r="V236" t="s">
        <v>44</v>
      </c>
      <c r="W236">
        <v>7</v>
      </c>
      <c r="X236" t="s">
        <v>49</v>
      </c>
      <c r="Y236">
        <v>10</v>
      </c>
      <c r="Z236">
        <v>0</v>
      </c>
      <c r="AA236" t="s">
        <v>50</v>
      </c>
      <c r="AB236">
        <v>0</v>
      </c>
      <c r="AC236" t="s">
        <v>43</v>
      </c>
      <c r="AD236">
        <v>30.01</v>
      </c>
      <c r="AE236">
        <v>42.4</v>
      </c>
      <c r="AF236">
        <v>0</v>
      </c>
      <c r="AG236">
        <v>0</v>
      </c>
      <c r="AH236" t="s">
        <v>693</v>
      </c>
      <c r="AI236" t="s">
        <v>43</v>
      </c>
    </row>
    <row r="237" spans="1:35" x14ac:dyDescent="0.25">
      <c r="A237">
        <v>409</v>
      </c>
      <c r="B237" t="s">
        <v>694</v>
      </c>
      <c r="C237" t="s">
        <v>695</v>
      </c>
      <c r="D237">
        <v>35</v>
      </c>
      <c r="E237">
        <v>12100</v>
      </c>
      <c r="F237">
        <v>11</v>
      </c>
      <c r="G237">
        <v>10667</v>
      </c>
      <c r="H237">
        <v>0</v>
      </c>
      <c r="I237">
        <v>247</v>
      </c>
      <c r="J237">
        <v>0</v>
      </c>
      <c r="K237">
        <v>0</v>
      </c>
      <c r="L237">
        <v>0</v>
      </c>
      <c r="M237">
        <v>1</v>
      </c>
      <c r="N237">
        <v>223</v>
      </c>
      <c r="O237">
        <v>10890</v>
      </c>
      <c r="P237">
        <v>2.23</v>
      </c>
      <c r="Q237">
        <v>108.9</v>
      </c>
      <c r="R237" t="s">
        <v>37</v>
      </c>
      <c r="S237" t="s">
        <v>1277</v>
      </c>
      <c r="T237" s="1">
        <v>43397.621562499997</v>
      </c>
      <c r="U237">
        <v>2</v>
      </c>
      <c r="V237" t="s">
        <v>47</v>
      </c>
      <c r="W237">
        <v>6</v>
      </c>
      <c r="X237" t="s">
        <v>350</v>
      </c>
      <c r="Y237">
        <v>2</v>
      </c>
      <c r="Z237">
        <v>0</v>
      </c>
      <c r="AA237" t="s">
        <v>351</v>
      </c>
      <c r="AB237">
        <v>0</v>
      </c>
      <c r="AC237" t="s">
        <v>43</v>
      </c>
      <c r="AD237">
        <v>106.67</v>
      </c>
      <c r="AE237">
        <v>121</v>
      </c>
      <c r="AF237">
        <v>0</v>
      </c>
      <c r="AG237">
        <v>0</v>
      </c>
      <c r="AH237" t="s">
        <v>696</v>
      </c>
    </row>
    <row r="238" spans="1:35" x14ac:dyDescent="0.25">
      <c r="A238">
        <v>410</v>
      </c>
      <c r="B238" t="s">
        <v>697</v>
      </c>
      <c r="C238" t="s">
        <v>344</v>
      </c>
      <c r="D238">
        <v>12</v>
      </c>
      <c r="E238">
        <v>32222</v>
      </c>
      <c r="F238">
        <v>2</v>
      </c>
      <c r="G238">
        <v>25001</v>
      </c>
      <c r="H238">
        <v>0</v>
      </c>
      <c r="I238">
        <v>339</v>
      </c>
      <c r="J238">
        <v>0</v>
      </c>
      <c r="K238">
        <v>0</v>
      </c>
      <c r="L238">
        <v>0</v>
      </c>
      <c r="M238">
        <v>1</v>
      </c>
      <c r="N238">
        <v>3998.8</v>
      </c>
      <c r="O238">
        <v>28999.8</v>
      </c>
      <c r="P238">
        <v>39.99</v>
      </c>
      <c r="Q238">
        <v>290</v>
      </c>
      <c r="R238" t="s">
        <v>37</v>
      </c>
      <c r="S238" t="s">
        <v>1277</v>
      </c>
      <c r="T238" s="1">
        <v>43397.621562499997</v>
      </c>
      <c r="U238">
        <v>2</v>
      </c>
      <c r="V238" t="s">
        <v>47</v>
      </c>
      <c r="W238">
        <v>7</v>
      </c>
      <c r="X238" t="s">
        <v>49</v>
      </c>
      <c r="Y238">
        <v>10</v>
      </c>
      <c r="Z238">
        <v>0</v>
      </c>
      <c r="AA238" t="s">
        <v>50</v>
      </c>
      <c r="AB238">
        <v>0</v>
      </c>
      <c r="AC238" t="s">
        <v>43</v>
      </c>
      <c r="AD238">
        <v>250.01</v>
      </c>
      <c r="AE238">
        <v>322.22000000000003</v>
      </c>
      <c r="AF238">
        <v>0</v>
      </c>
      <c r="AG238">
        <v>0</v>
      </c>
      <c r="AH238" t="s">
        <v>698</v>
      </c>
      <c r="AI238" t="s">
        <v>43</v>
      </c>
    </row>
    <row r="239" spans="1:35" x14ac:dyDescent="0.25">
      <c r="A239">
        <v>411</v>
      </c>
      <c r="B239" t="s">
        <v>699</v>
      </c>
      <c r="C239" t="s">
        <v>287</v>
      </c>
      <c r="D239">
        <v>13</v>
      </c>
      <c r="E239">
        <v>30998</v>
      </c>
      <c r="F239">
        <v>2</v>
      </c>
      <c r="G239">
        <v>24004</v>
      </c>
      <c r="H239">
        <v>0</v>
      </c>
      <c r="I239">
        <v>323</v>
      </c>
      <c r="J239">
        <v>0</v>
      </c>
      <c r="K239">
        <v>0</v>
      </c>
      <c r="L239">
        <v>0</v>
      </c>
      <c r="M239">
        <v>1</v>
      </c>
      <c r="N239">
        <v>3894.2</v>
      </c>
      <c r="O239">
        <v>27898.2</v>
      </c>
      <c r="P239">
        <v>38.94</v>
      </c>
      <c r="Q239">
        <v>278.98</v>
      </c>
      <c r="R239" t="s">
        <v>37</v>
      </c>
      <c r="S239" t="s">
        <v>1277</v>
      </c>
      <c r="T239" s="1">
        <v>43397.621562499997</v>
      </c>
      <c r="U239">
        <v>2</v>
      </c>
      <c r="V239" t="s">
        <v>47</v>
      </c>
      <c r="W239">
        <v>7</v>
      </c>
      <c r="X239" t="s">
        <v>49</v>
      </c>
      <c r="Y239">
        <v>10</v>
      </c>
      <c r="Z239">
        <v>0</v>
      </c>
      <c r="AA239" t="s">
        <v>50</v>
      </c>
      <c r="AB239">
        <v>0</v>
      </c>
      <c r="AC239" t="s">
        <v>43</v>
      </c>
      <c r="AD239">
        <v>240.04</v>
      </c>
      <c r="AE239">
        <v>309.98</v>
      </c>
      <c r="AF239">
        <v>0</v>
      </c>
      <c r="AG239">
        <v>0</v>
      </c>
      <c r="AH239" t="s">
        <v>700</v>
      </c>
      <c r="AI239" t="s">
        <v>43</v>
      </c>
    </row>
    <row r="240" spans="1:35" x14ac:dyDescent="0.25">
      <c r="A240">
        <v>412</v>
      </c>
      <c r="B240" t="s">
        <v>701</v>
      </c>
      <c r="C240" t="s">
        <v>344</v>
      </c>
      <c r="D240">
        <v>8</v>
      </c>
      <c r="E240">
        <v>99998</v>
      </c>
      <c r="F240">
        <v>1</v>
      </c>
      <c r="G240">
        <v>89700</v>
      </c>
      <c r="H240">
        <v>0</v>
      </c>
      <c r="I240">
        <v>433</v>
      </c>
      <c r="J240">
        <v>0</v>
      </c>
      <c r="K240">
        <v>0</v>
      </c>
      <c r="L240">
        <v>0</v>
      </c>
      <c r="M240">
        <v>1</v>
      </c>
      <c r="N240">
        <v>298.2</v>
      </c>
      <c r="O240">
        <v>89998.2</v>
      </c>
      <c r="P240">
        <v>2.98</v>
      </c>
      <c r="Q240">
        <v>899.98</v>
      </c>
      <c r="R240" t="s">
        <v>37</v>
      </c>
      <c r="S240" t="s">
        <v>1277</v>
      </c>
      <c r="T240" s="1">
        <v>43397.621562499997</v>
      </c>
      <c r="U240">
        <v>3</v>
      </c>
      <c r="V240" t="s">
        <v>38</v>
      </c>
      <c r="W240">
        <v>7</v>
      </c>
      <c r="X240" t="s">
        <v>49</v>
      </c>
      <c r="Y240">
        <v>10</v>
      </c>
      <c r="Z240">
        <v>0</v>
      </c>
      <c r="AA240" t="s">
        <v>50</v>
      </c>
      <c r="AB240">
        <v>0</v>
      </c>
      <c r="AC240" t="s">
        <v>43</v>
      </c>
      <c r="AD240">
        <v>897</v>
      </c>
      <c r="AE240">
        <v>999.98</v>
      </c>
      <c r="AF240">
        <v>0</v>
      </c>
      <c r="AG240">
        <v>0</v>
      </c>
      <c r="AH240" t="s">
        <v>702</v>
      </c>
      <c r="AI240" t="s">
        <v>43</v>
      </c>
    </row>
    <row r="241" spans="1:35" x14ac:dyDescent="0.25">
      <c r="A241">
        <v>413</v>
      </c>
      <c r="B241" t="s">
        <v>703</v>
      </c>
      <c r="C241" t="s">
        <v>48</v>
      </c>
      <c r="D241">
        <v>12</v>
      </c>
      <c r="E241">
        <v>177999</v>
      </c>
      <c r="F241">
        <v>12</v>
      </c>
      <c r="G241">
        <v>100300</v>
      </c>
      <c r="H241">
        <v>0</v>
      </c>
      <c r="I241">
        <v>289</v>
      </c>
      <c r="J241">
        <v>0</v>
      </c>
      <c r="K241">
        <v>0</v>
      </c>
      <c r="L241">
        <v>0</v>
      </c>
      <c r="M241">
        <v>1</v>
      </c>
      <c r="N241">
        <v>59899.1</v>
      </c>
      <c r="O241">
        <v>160199.1</v>
      </c>
      <c r="P241">
        <v>598.99</v>
      </c>
      <c r="Q241">
        <v>1601.99</v>
      </c>
      <c r="R241" t="s">
        <v>37</v>
      </c>
      <c r="S241" t="s">
        <v>1277</v>
      </c>
      <c r="T241" s="1">
        <v>43397.621562499997</v>
      </c>
      <c r="U241">
        <v>3</v>
      </c>
      <c r="V241" t="s">
        <v>38</v>
      </c>
      <c r="W241">
        <v>7</v>
      </c>
      <c r="X241" t="s">
        <v>49</v>
      </c>
      <c r="Y241">
        <v>10</v>
      </c>
      <c r="Z241">
        <v>0</v>
      </c>
      <c r="AA241" t="s">
        <v>50</v>
      </c>
      <c r="AB241">
        <v>0</v>
      </c>
      <c r="AC241" t="s">
        <v>43</v>
      </c>
      <c r="AD241">
        <v>1003</v>
      </c>
      <c r="AE241">
        <v>1779.99</v>
      </c>
      <c r="AF241">
        <v>0</v>
      </c>
      <c r="AG241">
        <v>0</v>
      </c>
      <c r="AH241" t="s">
        <v>704</v>
      </c>
      <c r="AI241" t="s">
        <v>43</v>
      </c>
    </row>
    <row r="242" spans="1:35" x14ac:dyDescent="0.25">
      <c r="A242">
        <v>414</v>
      </c>
      <c r="B242" t="s">
        <v>705</v>
      </c>
      <c r="C242" t="s">
        <v>706</v>
      </c>
      <c r="D242">
        <v>9</v>
      </c>
      <c r="E242">
        <v>37000</v>
      </c>
      <c r="F242">
        <v>18</v>
      </c>
      <c r="G242">
        <v>33502</v>
      </c>
      <c r="H242">
        <v>0</v>
      </c>
      <c r="I242">
        <v>281</v>
      </c>
      <c r="J242">
        <v>0</v>
      </c>
      <c r="K242">
        <v>0</v>
      </c>
      <c r="L242">
        <v>0</v>
      </c>
      <c r="M242">
        <v>1</v>
      </c>
      <c r="N242">
        <v>-202</v>
      </c>
      <c r="O242">
        <v>33300</v>
      </c>
      <c r="P242">
        <v>-2.02</v>
      </c>
      <c r="Q242">
        <v>333</v>
      </c>
      <c r="R242" t="s">
        <v>37</v>
      </c>
      <c r="S242" t="s">
        <v>1277</v>
      </c>
      <c r="T242" s="1">
        <v>43397.621562499997</v>
      </c>
      <c r="U242">
        <v>1</v>
      </c>
      <c r="V242" t="s">
        <v>44</v>
      </c>
      <c r="W242">
        <v>1</v>
      </c>
      <c r="X242" t="s">
        <v>101</v>
      </c>
      <c r="Y242">
        <v>5</v>
      </c>
      <c r="Z242">
        <v>0</v>
      </c>
      <c r="AA242" t="s">
        <v>182</v>
      </c>
      <c r="AB242">
        <v>0</v>
      </c>
      <c r="AC242" t="s">
        <v>43</v>
      </c>
      <c r="AD242">
        <v>335.02</v>
      </c>
      <c r="AE242">
        <v>370</v>
      </c>
      <c r="AF242">
        <v>0</v>
      </c>
      <c r="AG242">
        <v>0</v>
      </c>
      <c r="AH242" t="s">
        <v>707</v>
      </c>
    </row>
    <row r="243" spans="1:35" x14ac:dyDescent="0.25">
      <c r="A243">
        <v>415</v>
      </c>
      <c r="B243" t="s">
        <v>708</v>
      </c>
      <c r="C243" t="s">
        <v>344</v>
      </c>
      <c r="D243">
        <v>20</v>
      </c>
      <c r="E243">
        <v>3232</v>
      </c>
      <c r="F243">
        <v>23</v>
      </c>
      <c r="G243">
        <v>2602</v>
      </c>
      <c r="H243">
        <v>0</v>
      </c>
      <c r="I243">
        <v>204</v>
      </c>
      <c r="J243">
        <v>0</v>
      </c>
      <c r="K243">
        <v>0</v>
      </c>
      <c r="L243">
        <v>0</v>
      </c>
      <c r="M243">
        <v>1</v>
      </c>
      <c r="N243">
        <v>306.8</v>
      </c>
      <c r="O243">
        <v>2908.8</v>
      </c>
      <c r="P243">
        <v>3.07</v>
      </c>
      <c r="Q243">
        <v>29.09</v>
      </c>
      <c r="R243" t="s">
        <v>37</v>
      </c>
      <c r="S243" t="s">
        <v>1277</v>
      </c>
      <c r="T243" s="1">
        <v>43397.621562499997</v>
      </c>
      <c r="U243">
        <v>3</v>
      </c>
      <c r="V243" t="s">
        <v>38</v>
      </c>
      <c r="W243">
        <v>7</v>
      </c>
      <c r="X243" t="s">
        <v>49</v>
      </c>
      <c r="Y243">
        <v>10</v>
      </c>
      <c r="Z243">
        <v>0</v>
      </c>
      <c r="AA243" t="s">
        <v>50</v>
      </c>
      <c r="AB243">
        <v>0</v>
      </c>
      <c r="AC243" t="s">
        <v>43</v>
      </c>
      <c r="AD243">
        <v>26.02</v>
      </c>
      <c r="AE243">
        <v>32.32</v>
      </c>
      <c r="AF243">
        <v>0</v>
      </c>
      <c r="AG243">
        <v>0</v>
      </c>
      <c r="AH243" t="s">
        <v>709</v>
      </c>
      <c r="AI243" t="s">
        <v>43</v>
      </c>
    </row>
    <row r="244" spans="1:35" x14ac:dyDescent="0.25">
      <c r="A244">
        <v>416</v>
      </c>
      <c r="B244" t="s">
        <v>710</v>
      </c>
      <c r="C244" t="s">
        <v>711</v>
      </c>
      <c r="D244">
        <v>31</v>
      </c>
      <c r="E244">
        <v>21899</v>
      </c>
      <c r="F244">
        <v>15</v>
      </c>
      <c r="G244">
        <v>18200</v>
      </c>
      <c r="H244">
        <v>0</v>
      </c>
      <c r="I244">
        <v>207</v>
      </c>
      <c r="J244">
        <v>6</v>
      </c>
      <c r="K244">
        <v>19787</v>
      </c>
      <c r="L244">
        <v>19733</v>
      </c>
      <c r="M244">
        <v>1</v>
      </c>
      <c r="N244">
        <v>1509.1</v>
      </c>
      <c r="O244">
        <v>-23.9</v>
      </c>
      <c r="P244" s="2">
        <v>15.09</v>
      </c>
      <c r="Q244">
        <v>-0.24</v>
      </c>
      <c r="R244" t="s">
        <v>59</v>
      </c>
      <c r="S244" t="s">
        <v>1277</v>
      </c>
      <c r="T244" s="1">
        <v>43397.621562499997</v>
      </c>
      <c r="U244">
        <v>4</v>
      </c>
      <c r="V244" t="s">
        <v>55</v>
      </c>
      <c r="W244">
        <v>8</v>
      </c>
      <c r="X244" t="s">
        <v>118</v>
      </c>
      <c r="Y244">
        <v>8</v>
      </c>
      <c r="Z244">
        <v>115</v>
      </c>
      <c r="AA244" t="s">
        <v>232</v>
      </c>
      <c r="AB244">
        <v>1</v>
      </c>
      <c r="AC244" t="s">
        <v>60</v>
      </c>
      <c r="AD244">
        <v>182</v>
      </c>
      <c r="AE244">
        <v>218.99</v>
      </c>
      <c r="AF244">
        <v>197.87</v>
      </c>
      <c r="AG244">
        <v>197.33</v>
      </c>
      <c r="AH244" t="s">
        <v>712</v>
      </c>
      <c r="AI244" t="s">
        <v>43</v>
      </c>
    </row>
    <row r="245" spans="1:35" x14ac:dyDescent="0.25">
      <c r="A245">
        <v>417</v>
      </c>
      <c r="B245" t="s">
        <v>713</v>
      </c>
      <c r="C245" t="s">
        <v>48</v>
      </c>
      <c r="D245">
        <v>18</v>
      </c>
      <c r="E245">
        <v>4460</v>
      </c>
      <c r="F245">
        <v>10</v>
      </c>
      <c r="G245">
        <v>3226</v>
      </c>
      <c r="H245">
        <v>0</v>
      </c>
      <c r="I245">
        <v>284</v>
      </c>
      <c r="J245">
        <v>0</v>
      </c>
      <c r="K245">
        <v>0</v>
      </c>
      <c r="L245">
        <v>0</v>
      </c>
      <c r="M245">
        <v>1</v>
      </c>
      <c r="N245">
        <v>788</v>
      </c>
      <c r="O245">
        <v>4014</v>
      </c>
      <c r="P245">
        <v>7.88</v>
      </c>
      <c r="Q245">
        <v>40.14</v>
      </c>
      <c r="R245" t="s">
        <v>37</v>
      </c>
      <c r="S245" t="s">
        <v>1277</v>
      </c>
      <c r="T245" s="1">
        <v>43397.621562499997</v>
      </c>
      <c r="U245">
        <v>3</v>
      </c>
      <c r="V245" t="s">
        <v>38</v>
      </c>
      <c r="W245">
        <v>7</v>
      </c>
      <c r="X245" t="s">
        <v>49</v>
      </c>
      <c r="Y245">
        <v>10</v>
      </c>
      <c r="Z245">
        <v>0</v>
      </c>
      <c r="AA245" t="s">
        <v>50</v>
      </c>
      <c r="AB245">
        <v>0</v>
      </c>
      <c r="AC245" t="s">
        <v>43</v>
      </c>
      <c r="AD245">
        <v>32.26</v>
      </c>
      <c r="AE245">
        <v>44.6</v>
      </c>
      <c r="AF245">
        <v>0</v>
      </c>
      <c r="AG245">
        <v>0</v>
      </c>
      <c r="AH245" t="s">
        <v>714</v>
      </c>
      <c r="AI245" t="s">
        <v>43</v>
      </c>
    </row>
    <row r="246" spans="1:35" x14ac:dyDescent="0.25">
      <c r="A246">
        <v>418</v>
      </c>
      <c r="B246" t="s">
        <v>715</v>
      </c>
      <c r="C246" t="s">
        <v>48</v>
      </c>
      <c r="D246">
        <v>3</v>
      </c>
      <c r="E246">
        <v>399884</v>
      </c>
      <c r="F246">
        <v>5</v>
      </c>
      <c r="G246">
        <v>232700</v>
      </c>
      <c r="H246">
        <v>0</v>
      </c>
      <c r="I246">
        <v>423</v>
      </c>
      <c r="J246">
        <v>0</v>
      </c>
      <c r="K246">
        <v>0</v>
      </c>
      <c r="L246">
        <v>0</v>
      </c>
      <c r="M246">
        <v>1</v>
      </c>
      <c r="N246">
        <v>127195.6</v>
      </c>
      <c r="O246">
        <v>359895.6</v>
      </c>
      <c r="P246">
        <v>1271.96</v>
      </c>
      <c r="Q246">
        <v>3598.96</v>
      </c>
      <c r="R246" t="s">
        <v>37</v>
      </c>
      <c r="S246" t="s">
        <v>1277</v>
      </c>
      <c r="T246" s="1">
        <v>43397.621562499997</v>
      </c>
      <c r="U246">
        <v>3</v>
      </c>
      <c r="V246" t="s">
        <v>38</v>
      </c>
      <c r="W246">
        <v>7</v>
      </c>
      <c r="X246" t="s">
        <v>49</v>
      </c>
      <c r="Y246">
        <v>10</v>
      </c>
      <c r="Z246">
        <v>0</v>
      </c>
      <c r="AA246" t="s">
        <v>50</v>
      </c>
      <c r="AB246">
        <v>0</v>
      </c>
      <c r="AC246" t="s">
        <v>43</v>
      </c>
      <c r="AD246">
        <v>2327</v>
      </c>
      <c r="AE246">
        <v>3998.84</v>
      </c>
      <c r="AF246">
        <v>0</v>
      </c>
      <c r="AG246">
        <v>0</v>
      </c>
      <c r="AH246" t="s">
        <v>716</v>
      </c>
      <c r="AI246" t="s">
        <v>43</v>
      </c>
    </row>
    <row r="247" spans="1:35" x14ac:dyDescent="0.25">
      <c r="A247">
        <v>419</v>
      </c>
      <c r="B247" t="s">
        <v>717</v>
      </c>
      <c r="C247" t="s">
        <v>43</v>
      </c>
      <c r="D247">
        <v>3</v>
      </c>
      <c r="E247">
        <v>15990</v>
      </c>
      <c r="F247">
        <v>6</v>
      </c>
      <c r="G247">
        <v>10724</v>
      </c>
      <c r="H247">
        <v>0</v>
      </c>
      <c r="I247">
        <v>266</v>
      </c>
      <c r="J247">
        <v>0</v>
      </c>
      <c r="K247">
        <v>0</v>
      </c>
      <c r="L247">
        <v>0</v>
      </c>
      <c r="M247">
        <v>1</v>
      </c>
      <c r="N247">
        <v>3667</v>
      </c>
      <c r="O247">
        <v>14391</v>
      </c>
      <c r="P247">
        <v>36.67</v>
      </c>
      <c r="Q247">
        <v>143.91</v>
      </c>
      <c r="R247" t="s">
        <v>37</v>
      </c>
      <c r="S247" t="s">
        <v>1277</v>
      </c>
      <c r="T247" s="1">
        <v>43397.621562499997</v>
      </c>
      <c r="U247">
        <v>2</v>
      </c>
      <c r="V247" t="s">
        <v>47</v>
      </c>
      <c r="W247">
        <v>9</v>
      </c>
      <c r="X247" t="s">
        <v>45</v>
      </c>
      <c r="Y247">
        <v>44</v>
      </c>
      <c r="Z247">
        <v>0</v>
      </c>
      <c r="AA247" t="s">
        <v>718</v>
      </c>
      <c r="AB247">
        <v>0</v>
      </c>
      <c r="AC247" t="s">
        <v>43</v>
      </c>
      <c r="AD247">
        <v>107.24</v>
      </c>
      <c r="AE247">
        <v>159.9</v>
      </c>
      <c r="AF247">
        <v>0</v>
      </c>
      <c r="AG247">
        <v>0</v>
      </c>
      <c r="AH247" t="s">
        <v>719</v>
      </c>
      <c r="AI247" t="s">
        <v>43</v>
      </c>
    </row>
    <row r="248" spans="1:35" x14ac:dyDescent="0.25">
      <c r="A248">
        <v>420</v>
      </c>
      <c r="B248" t="s">
        <v>720</v>
      </c>
      <c r="C248" t="s">
        <v>721</v>
      </c>
      <c r="D248">
        <v>38</v>
      </c>
      <c r="E248">
        <v>21988</v>
      </c>
      <c r="F248">
        <v>11</v>
      </c>
      <c r="G248">
        <v>16302</v>
      </c>
      <c r="H248">
        <v>0</v>
      </c>
      <c r="I248">
        <v>303</v>
      </c>
      <c r="J248">
        <v>6</v>
      </c>
      <c r="K248">
        <v>17183</v>
      </c>
      <c r="L248">
        <v>17166</v>
      </c>
      <c r="M248">
        <v>1</v>
      </c>
      <c r="N248">
        <v>3487.2</v>
      </c>
      <c r="O248">
        <v>2623.2</v>
      </c>
      <c r="P248">
        <v>34.869999999999997</v>
      </c>
      <c r="Q248">
        <v>26.23</v>
      </c>
      <c r="R248" t="s">
        <v>59</v>
      </c>
      <c r="S248" t="s">
        <v>1277</v>
      </c>
      <c r="T248" s="1">
        <v>43397.621562499997</v>
      </c>
      <c r="U248">
        <v>4</v>
      </c>
      <c r="V248" t="s">
        <v>55</v>
      </c>
      <c r="W248">
        <v>8</v>
      </c>
      <c r="X248" t="s">
        <v>118</v>
      </c>
      <c r="Y248">
        <v>8</v>
      </c>
      <c r="Z248">
        <v>116</v>
      </c>
      <c r="AA248" t="s">
        <v>232</v>
      </c>
      <c r="AB248">
        <v>1</v>
      </c>
      <c r="AC248" t="s">
        <v>60</v>
      </c>
      <c r="AD248">
        <v>163.02000000000001</v>
      </c>
      <c r="AE248">
        <v>219.88</v>
      </c>
      <c r="AF248">
        <v>171.83</v>
      </c>
      <c r="AG248">
        <v>171.66</v>
      </c>
      <c r="AH248" t="s">
        <v>722</v>
      </c>
      <c r="AI248" t="s">
        <v>43</v>
      </c>
    </row>
    <row r="249" spans="1:35" x14ac:dyDescent="0.25">
      <c r="A249">
        <v>421</v>
      </c>
      <c r="B249" t="s">
        <v>723</v>
      </c>
      <c r="C249" t="s">
        <v>43</v>
      </c>
      <c r="D249">
        <v>6</v>
      </c>
      <c r="E249">
        <v>299927</v>
      </c>
      <c r="F249">
        <v>6</v>
      </c>
      <c r="G249">
        <v>126004</v>
      </c>
      <c r="H249">
        <v>0</v>
      </c>
      <c r="I249">
        <v>190</v>
      </c>
      <c r="J249">
        <v>0</v>
      </c>
      <c r="K249">
        <v>0</v>
      </c>
      <c r="L249">
        <v>0</v>
      </c>
      <c r="M249">
        <v>1</v>
      </c>
      <c r="N249">
        <v>143930.29999999999</v>
      </c>
      <c r="O249">
        <v>269934.3</v>
      </c>
      <c r="P249">
        <v>1439.3</v>
      </c>
      <c r="Q249">
        <v>2699.34</v>
      </c>
      <c r="R249" t="s">
        <v>37</v>
      </c>
      <c r="S249" t="s">
        <v>1277</v>
      </c>
      <c r="T249" s="1">
        <v>43397.621562499997</v>
      </c>
      <c r="U249">
        <v>3</v>
      </c>
      <c r="V249" t="s">
        <v>38</v>
      </c>
      <c r="W249">
        <v>9</v>
      </c>
      <c r="X249" t="s">
        <v>45</v>
      </c>
      <c r="Y249">
        <v>44</v>
      </c>
      <c r="Z249">
        <v>0</v>
      </c>
      <c r="AA249" t="s">
        <v>718</v>
      </c>
      <c r="AB249">
        <v>0</v>
      </c>
      <c r="AC249" t="s">
        <v>43</v>
      </c>
      <c r="AD249">
        <v>1260.04</v>
      </c>
      <c r="AE249">
        <v>2999.27</v>
      </c>
      <c r="AF249">
        <v>0</v>
      </c>
      <c r="AG249">
        <v>0</v>
      </c>
      <c r="AH249" t="s">
        <v>724</v>
      </c>
      <c r="AI249" t="s">
        <v>43</v>
      </c>
    </row>
    <row r="250" spans="1:35" x14ac:dyDescent="0.25">
      <c r="A250">
        <v>422</v>
      </c>
      <c r="B250" t="s">
        <v>725</v>
      </c>
      <c r="C250" t="s">
        <v>43</v>
      </c>
      <c r="D250">
        <v>24</v>
      </c>
      <c r="E250">
        <v>5985</v>
      </c>
      <c r="F250">
        <v>11</v>
      </c>
      <c r="G250">
        <v>4400</v>
      </c>
      <c r="H250">
        <v>0</v>
      </c>
      <c r="I250">
        <v>374</v>
      </c>
      <c r="J250">
        <v>0</v>
      </c>
      <c r="K250">
        <v>0</v>
      </c>
      <c r="L250">
        <v>0</v>
      </c>
      <c r="M250">
        <v>1</v>
      </c>
      <c r="N250">
        <v>986.5</v>
      </c>
      <c r="O250">
        <v>5386.5</v>
      </c>
      <c r="P250">
        <v>9.8699999999999992</v>
      </c>
      <c r="Q250">
        <v>53.87</v>
      </c>
      <c r="R250" t="s">
        <v>37</v>
      </c>
      <c r="S250" t="s">
        <v>1277</v>
      </c>
      <c r="T250" s="1">
        <v>43397.621562499997</v>
      </c>
      <c r="U250">
        <v>1</v>
      </c>
      <c r="V250" t="s">
        <v>44</v>
      </c>
      <c r="W250">
        <v>9</v>
      </c>
      <c r="X250" t="s">
        <v>45</v>
      </c>
      <c r="Y250">
        <v>44</v>
      </c>
      <c r="Z250">
        <v>0</v>
      </c>
      <c r="AA250" t="s">
        <v>718</v>
      </c>
      <c r="AB250">
        <v>0</v>
      </c>
      <c r="AC250" t="s">
        <v>43</v>
      </c>
      <c r="AD250">
        <v>44</v>
      </c>
      <c r="AE250">
        <v>59.85</v>
      </c>
      <c r="AF250">
        <v>0</v>
      </c>
      <c r="AG250">
        <v>0</v>
      </c>
      <c r="AH250" t="s">
        <v>726</v>
      </c>
      <c r="AI250" t="s">
        <v>43</v>
      </c>
    </row>
    <row r="251" spans="1:35" x14ac:dyDescent="0.25">
      <c r="A251">
        <v>423</v>
      </c>
      <c r="B251" t="s">
        <v>727</v>
      </c>
      <c r="C251" t="s">
        <v>43</v>
      </c>
      <c r="D251">
        <v>4</v>
      </c>
      <c r="E251">
        <v>259998</v>
      </c>
      <c r="F251">
        <v>85</v>
      </c>
      <c r="G251">
        <v>142407</v>
      </c>
      <c r="H251">
        <v>0</v>
      </c>
      <c r="I251">
        <v>199</v>
      </c>
      <c r="J251">
        <v>0</v>
      </c>
      <c r="K251">
        <v>0</v>
      </c>
      <c r="L251">
        <v>0</v>
      </c>
      <c r="M251">
        <v>1</v>
      </c>
      <c r="N251">
        <v>91591.2</v>
      </c>
      <c r="O251">
        <v>233998.2</v>
      </c>
      <c r="P251">
        <v>915.91</v>
      </c>
      <c r="Q251">
        <v>2339.98</v>
      </c>
      <c r="R251" t="s">
        <v>37</v>
      </c>
      <c r="S251" t="s">
        <v>1277</v>
      </c>
      <c r="T251" s="1">
        <v>43397.621562499997</v>
      </c>
      <c r="U251">
        <v>3</v>
      </c>
      <c r="V251" t="s">
        <v>38</v>
      </c>
      <c r="W251">
        <v>9</v>
      </c>
      <c r="X251" t="s">
        <v>45</v>
      </c>
      <c r="Y251">
        <v>44</v>
      </c>
      <c r="Z251">
        <v>0</v>
      </c>
      <c r="AA251" t="s">
        <v>718</v>
      </c>
      <c r="AB251">
        <v>0</v>
      </c>
      <c r="AC251" t="s">
        <v>43</v>
      </c>
      <c r="AD251">
        <v>1424.07</v>
      </c>
      <c r="AE251">
        <v>2599.98</v>
      </c>
      <c r="AF251">
        <v>0</v>
      </c>
      <c r="AG251">
        <v>0</v>
      </c>
      <c r="AH251" t="s">
        <v>728</v>
      </c>
      <c r="AI251" t="s">
        <v>43</v>
      </c>
    </row>
    <row r="252" spans="1:35" x14ac:dyDescent="0.25">
      <c r="A252">
        <v>424</v>
      </c>
      <c r="B252" t="s">
        <v>729</v>
      </c>
      <c r="C252" t="s">
        <v>43</v>
      </c>
      <c r="D252">
        <v>7</v>
      </c>
      <c r="E252">
        <v>27499</v>
      </c>
      <c r="F252">
        <v>10</v>
      </c>
      <c r="G252">
        <v>13100</v>
      </c>
      <c r="H252">
        <v>0</v>
      </c>
      <c r="I252">
        <v>336</v>
      </c>
      <c r="J252">
        <v>0</v>
      </c>
      <c r="K252">
        <v>0</v>
      </c>
      <c r="L252">
        <v>0</v>
      </c>
      <c r="M252">
        <v>1</v>
      </c>
      <c r="N252">
        <v>11649.1</v>
      </c>
      <c r="O252">
        <v>24749.1</v>
      </c>
      <c r="P252">
        <v>116.49</v>
      </c>
      <c r="Q252">
        <v>247.49</v>
      </c>
      <c r="R252" t="s">
        <v>37</v>
      </c>
      <c r="S252" t="s">
        <v>1277</v>
      </c>
      <c r="T252" s="1">
        <v>43397.621562499997</v>
      </c>
      <c r="U252">
        <v>2</v>
      </c>
      <c r="V252" t="s">
        <v>47</v>
      </c>
      <c r="W252">
        <v>9</v>
      </c>
      <c r="X252" t="s">
        <v>45</v>
      </c>
      <c r="Y252">
        <v>44</v>
      </c>
      <c r="Z252">
        <v>0</v>
      </c>
      <c r="AA252" t="s">
        <v>718</v>
      </c>
      <c r="AB252">
        <v>0</v>
      </c>
      <c r="AC252" t="s">
        <v>43</v>
      </c>
      <c r="AD252">
        <v>131</v>
      </c>
      <c r="AE252">
        <v>274.99</v>
      </c>
      <c r="AF252">
        <v>0</v>
      </c>
      <c r="AG252">
        <v>0</v>
      </c>
      <c r="AH252" t="s">
        <v>730</v>
      </c>
      <c r="AI252" t="s">
        <v>43</v>
      </c>
    </row>
    <row r="253" spans="1:35" x14ac:dyDescent="0.25">
      <c r="A253">
        <v>425</v>
      </c>
      <c r="B253" t="s">
        <v>731</v>
      </c>
      <c r="C253" t="s">
        <v>43</v>
      </c>
      <c r="D253">
        <v>25</v>
      </c>
      <c r="E253">
        <v>4980</v>
      </c>
      <c r="F253">
        <v>18</v>
      </c>
      <c r="G253">
        <v>4000</v>
      </c>
      <c r="H253">
        <v>0</v>
      </c>
      <c r="I253">
        <v>338</v>
      </c>
      <c r="J253">
        <v>0</v>
      </c>
      <c r="K253">
        <v>0</v>
      </c>
      <c r="L253">
        <v>0</v>
      </c>
      <c r="M253">
        <v>1</v>
      </c>
      <c r="N253">
        <v>482</v>
      </c>
      <c r="O253">
        <v>4482</v>
      </c>
      <c r="P253">
        <v>4.82</v>
      </c>
      <c r="Q253">
        <v>44.82</v>
      </c>
      <c r="R253" t="s">
        <v>37</v>
      </c>
      <c r="S253" t="s">
        <v>1277</v>
      </c>
      <c r="T253" s="1">
        <v>43397.621562499997</v>
      </c>
      <c r="U253">
        <v>1</v>
      </c>
      <c r="V253" t="s">
        <v>44</v>
      </c>
      <c r="W253">
        <v>9</v>
      </c>
      <c r="X253" t="s">
        <v>45</v>
      </c>
      <c r="Y253">
        <v>44</v>
      </c>
      <c r="Z253">
        <v>0</v>
      </c>
      <c r="AA253" t="s">
        <v>718</v>
      </c>
      <c r="AB253">
        <v>0</v>
      </c>
      <c r="AC253" t="s">
        <v>43</v>
      </c>
      <c r="AD253">
        <v>40</v>
      </c>
      <c r="AE253">
        <v>49.8</v>
      </c>
      <c r="AF253">
        <v>0</v>
      </c>
      <c r="AG253">
        <v>0</v>
      </c>
      <c r="AH253" t="s">
        <v>732</v>
      </c>
      <c r="AI253" t="s">
        <v>43</v>
      </c>
    </row>
    <row r="254" spans="1:35" x14ac:dyDescent="0.25">
      <c r="A254">
        <v>426</v>
      </c>
      <c r="B254" t="s">
        <v>733</v>
      </c>
      <c r="C254" t="s">
        <v>43</v>
      </c>
      <c r="D254">
        <v>18</v>
      </c>
      <c r="E254">
        <v>21570</v>
      </c>
      <c r="F254">
        <v>8</v>
      </c>
      <c r="G254">
        <v>16557</v>
      </c>
      <c r="H254">
        <v>0</v>
      </c>
      <c r="I254">
        <v>392</v>
      </c>
      <c r="J254">
        <v>0</v>
      </c>
      <c r="K254">
        <v>0</v>
      </c>
      <c r="L254">
        <v>0</v>
      </c>
      <c r="M254">
        <v>1</v>
      </c>
      <c r="N254">
        <v>2856</v>
      </c>
      <c r="O254">
        <v>19413</v>
      </c>
      <c r="P254">
        <v>28.56</v>
      </c>
      <c r="Q254">
        <v>194.13</v>
      </c>
      <c r="R254" t="s">
        <v>37</v>
      </c>
      <c r="S254" t="s">
        <v>1277</v>
      </c>
      <c r="T254" s="1">
        <v>43397.621562499997</v>
      </c>
      <c r="U254">
        <v>2</v>
      </c>
      <c r="V254" t="s">
        <v>47</v>
      </c>
      <c r="W254">
        <v>9</v>
      </c>
      <c r="X254" t="s">
        <v>45</v>
      </c>
      <c r="Y254">
        <v>44</v>
      </c>
      <c r="Z254">
        <v>0</v>
      </c>
      <c r="AA254" t="s">
        <v>718</v>
      </c>
      <c r="AB254">
        <v>0</v>
      </c>
      <c r="AC254" t="s">
        <v>43</v>
      </c>
      <c r="AD254">
        <v>165.57</v>
      </c>
      <c r="AE254">
        <v>215.7</v>
      </c>
      <c r="AF254">
        <v>0</v>
      </c>
      <c r="AG254">
        <v>0</v>
      </c>
      <c r="AH254" t="s">
        <v>734</v>
      </c>
      <c r="AI254" t="s">
        <v>43</v>
      </c>
    </row>
    <row r="255" spans="1:35" x14ac:dyDescent="0.25">
      <c r="A255">
        <v>427</v>
      </c>
      <c r="B255" t="s">
        <v>735</v>
      </c>
      <c r="C255" t="s">
        <v>43</v>
      </c>
      <c r="D255">
        <v>17</v>
      </c>
      <c r="E255">
        <v>5954</v>
      </c>
      <c r="F255">
        <v>26</v>
      </c>
      <c r="G255">
        <v>3501</v>
      </c>
      <c r="H255">
        <v>0</v>
      </c>
      <c r="I255">
        <v>372</v>
      </c>
      <c r="J255">
        <v>0</v>
      </c>
      <c r="K255">
        <v>0</v>
      </c>
      <c r="L255">
        <v>0</v>
      </c>
      <c r="M255">
        <v>1</v>
      </c>
      <c r="N255">
        <v>1857.6</v>
      </c>
      <c r="O255">
        <v>5358.6</v>
      </c>
      <c r="P255">
        <v>18.579999999999998</v>
      </c>
      <c r="Q255">
        <v>53.59</v>
      </c>
      <c r="R255" t="s">
        <v>37</v>
      </c>
      <c r="S255" t="s">
        <v>1277</v>
      </c>
      <c r="T255" s="1">
        <v>43397.621562499997</v>
      </c>
      <c r="U255">
        <v>1</v>
      </c>
      <c r="V255" t="s">
        <v>44</v>
      </c>
      <c r="W255">
        <v>9</v>
      </c>
      <c r="X255" t="s">
        <v>45</v>
      </c>
      <c r="Y255">
        <v>44</v>
      </c>
      <c r="Z255">
        <v>0</v>
      </c>
      <c r="AA255" t="s">
        <v>718</v>
      </c>
      <c r="AB255">
        <v>0</v>
      </c>
      <c r="AC255" t="s">
        <v>43</v>
      </c>
      <c r="AD255">
        <v>35.01</v>
      </c>
      <c r="AE255">
        <v>59.54</v>
      </c>
      <c r="AF255">
        <v>0</v>
      </c>
      <c r="AG255">
        <v>0</v>
      </c>
      <c r="AH255" t="s">
        <v>736</v>
      </c>
      <c r="AI255" t="s">
        <v>43</v>
      </c>
    </row>
    <row r="256" spans="1:35" x14ac:dyDescent="0.25">
      <c r="A256">
        <v>428</v>
      </c>
      <c r="B256" t="s">
        <v>737</v>
      </c>
      <c r="C256" t="s">
        <v>43</v>
      </c>
      <c r="D256">
        <v>13</v>
      </c>
      <c r="E256">
        <v>16743</v>
      </c>
      <c r="F256">
        <v>4</v>
      </c>
      <c r="G256">
        <v>6526</v>
      </c>
      <c r="H256">
        <v>0</v>
      </c>
      <c r="I256">
        <v>361</v>
      </c>
      <c r="J256">
        <v>0</v>
      </c>
      <c r="K256">
        <v>0</v>
      </c>
      <c r="L256">
        <v>0</v>
      </c>
      <c r="M256">
        <v>1</v>
      </c>
      <c r="N256">
        <v>8542.7000000000007</v>
      </c>
      <c r="O256">
        <v>15068.7</v>
      </c>
      <c r="P256">
        <v>85.43</v>
      </c>
      <c r="Q256">
        <v>150.69</v>
      </c>
      <c r="R256" t="s">
        <v>37</v>
      </c>
      <c r="S256" t="s">
        <v>1277</v>
      </c>
      <c r="T256" s="1">
        <v>43397.621562499997</v>
      </c>
      <c r="U256">
        <v>2</v>
      </c>
      <c r="V256" t="s">
        <v>47</v>
      </c>
      <c r="W256">
        <v>9</v>
      </c>
      <c r="X256" t="s">
        <v>45</v>
      </c>
      <c r="Y256">
        <v>44</v>
      </c>
      <c r="Z256">
        <v>0</v>
      </c>
      <c r="AA256" t="s">
        <v>718</v>
      </c>
      <c r="AB256">
        <v>0</v>
      </c>
      <c r="AC256" t="s">
        <v>43</v>
      </c>
      <c r="AD256">
        <v>65.260000000000005</v>
      </c>
      <c r="AE256">
        <v>167.43</v>
      </c>
      <c r="AF256">
        <v>0</v>
      </c>
      <c r="AG256">
        <v>0</v>
      </c>
      <c r="AH256" t="s">
        <v>738</v>
      </c>
      <c r="AI256" t="s">
        <v>43</v>
      </c>
    </row>
    <row r="257" spans="1:35" x14ac:dyDescent="0.25">
      <c r="A257">
        <v>429</v>
      </c>
      <c r="B257" t="s">
        <v>739</v>
      </c>
      <c r="C257" t="s">
        <v>43</v>
      </c>
      <c r="D257">
        <v>3</v>
      </c>
      <c r="E257">
        <v>8825</v>
      </c>
      <c r="F257">
        <v>9</v>
      </c>
      <c r="G257">
        <v>2410</v>
      </c>
      <c r="H257">
        <v>0</v>
      </c>
      <c r="I257">
        <v>282</v>
      </c>
      <c r="J257">
        <v>0</v>
      </c>
      <c r="K257">
        <v>0</v>
      </c>
      <c r="L257">
        <v>0</v>
      </c>
      <c r="M257">
        <v>1</v>
      </c>
      <c r="N257">
        <v>5532.5</v>
      </c>
      <c r="O257">
        <v>7942.5</v>
      </c>
      <c r="P257">
        <v>55.33</v>
      </c>
      <c r="Q257">
        <v>79.430000000000007</v>
      </c>
      <c r="R257" t="s">
        <v>37</v>
      </c>
      <c r="S257" t="s">
        <v>1277</v>
      </c>
      <c r="T257" s="1">
        <v>43397.621562499997</v>
      </c>
      <c r="U257">
        <v>1</v>
      </c>
      <c r="V257" t="s">
        <v>44</v>
      </c>
      <c r="W257">
        <v>9</v>
      </c>
      <c r="X257" t="s">
        <v>45</v>
      </c>
      <c r="Y257">
        <v>44</v>
      </c>
      <c r="Z257">
        <v>0</v>
      </c>
      <c r="AA257" t="s">
        <v>718</v>
      </c>
      <c r="AB257">
        <v>0</v>
      </c>
      <c r="AC257" t="s">
        <v>43</v>
      </c>
      <c r="AD257">
        <v>24.1</v>
      </c>
      <c r="AE257">
        <v>88.25</v>
      </c>
      <c r="AF257">
        <v>0</v>
      </c>
      <c r="AG257">
        <v>0</v>
      </c>
      <c r="AH257" t="s">
        <v>740</v>
      </c>
      <c r="AI257" t="s">
        <v>43</v>
      </c>
    </row>
    <row r="258" spans="1:35" x14ac:dyDescent="0.25">
      <c r="A258">
        <v>430</v>
      </c>
      <c r="B258" t="s">
        <v>741</v>
      </c>
      <c r="C258" t="s">
        <v>43</v>
      </c>
      <c r="D258">
        <v>19</v>
      </c>
      <c r="E258">
        <v>1687</v>
      </c>
      <c r="F258">
        <v>5</v>
      </c>
      <c r="G258">
        <v>999</v>
      </c>
      <c r="H258">
        <v>0</v>
      </c>
      <c r="I258">
        <v>389</v>
      </c>
      <c r="J258">
        <v>0</v>
      </c>
      <c r="K258">
        <v>0</v>
      </c>
      <c r="L258">
        <v>0</v>
      </c>
      <c r="M258">
        <v>1</v>
      </c>
      <c r="N258">
        <v>519.29999999999995</v>
      </c>
      <c r="O258">
        <v>1518.3</v>
      </c>
      <c r="P258">
        <v>5.19</v>
      </c>
      <c r="Q258">
        <v>15.18</v>
      </c>
      <c r="R258" t="s">
        <v>37</v>
      </c>
      <c r="S258" t="s">
        <v>1277</v>
      </c>
      <c r="T258" s="1">
        <v>43397.621562499997</v>
      </c>
      <c r="U258">
        <v>1</v>
      </c>
      <c r="V258" t="s">
        <v>44</v>
      </c>
      <c r="W258">
        <v>9</v>
      </c>
      <c r="X258" t="s">
        <v>45</v>
      </c>
      <c r="Y258">
        <v>44</v>
      </c>
      <c r="Z258">
        <v>0</v>
      </c>
      <c r="AA258" t="s">
        <v>718</v>
      </c>
      <c r="AB258">
        <v>0</v>
      </c>
      <c r="AC258" t="s">
        <v>43</v>
      </c>
      <c r="AD258">
        <v>9.99</v>
      </c>
      <c r="AE258">
        <v>16.87</v>
      </c>
      <c r="AF258">
        <v>0</v>
      </c>
      <c r="AG258">
        <v>0</v>
      </c>
      <c r="AH258" t="s">
        <v>742</v>
      </c>
      <c r="AI258" t="s">
        <v>43</v>
      </c>
    </row>
    <row r="259" spans="1:35" x14ac:dyDescent="0.25">
      <c r="A259">
        <v>431</v>
      </c>
      <c r="B259" t="s">
        <v>743</v>
      </c>
      <c r="C259" t="s">
        <v>43</v>
      </c>
      <c r="D259">
        <v>6</v>
      </c>
      <c r="E259">
        <v>34999</v>
      </c>
      <c r="F259">
        <v>4</v>
      </c>
      <c r="G259">
        <v>29000</v>
      </c>
      <c r="H259">
        <v>0</v>
      </c>
      <c r="I259">
        <v>311</v>
      </c>
      <c r="J259">
        <v>0</v>
      </c>
      <c r="K259">
        <v>0</v>
      </c>
      <c r="L259">
        <v>0</v>
      </c>
      <c r="M259">
        <v>1</v>
      </c>
      <c r="N259">
        <v>2499.1</v>
      </c>
      <c r="O259">
        <v>31499.1</v>
      </c>
      <c r="P259">
        <v>24.99</v>
      </c>
      <c r="Q259">
        <v>314.99</v>
      </c>
      <c r="R259" t="s">
        <v>37</v>
      </c>
      <c r="S259" t="s">
        <v>1277</v>
      </c>
      <c r="T259" s="1">
        <v>43397.621562499997</v>
      </c>
      <c r="U259">
        <v>3</v>
      </c>
      <c r="V259" t="s">
        <v>38</v>
      </c>
      <c r="W259">
        <v>9</v>
      </c>
      <c r="X259" t="s">
        <v>45</v>
      </c>
      <c r="Y259">
        <v>44</v>
      </c>
      <c r="Z259">
        <v>0</v>
      </c>
      <c r="AA259" t="s">
        <v>718</v>
      </c>
      <c r="AB259">
        <v>0</v>
      </c>
      <c r="AC259" t="s">
        <v>43</v>
      </c>
      <c r="AD259">
        <v>290</v>
      </c>
      <c r="AE259">
        <v>349.99</v>
      </c>
      <c r="AF259">
        <v>0</v>
      </c>
      <c r="AG259">
        <v>0</v>
      </c>
      <c r="AH259" t="s">
        <v>744</v>
      </c>
      <c r="AI259" t="s">
        <v>43</v>
      </c>
    </row>
    <row r="260" spans="1:35" x14ac:dyDescent="0.25">
      <c r="A260">
        <v>432</v>
      </c>
      <c r="B260" t="s">
        <v>745</v>
      </c>
      <c r="C260" t="s">
        <v>48</v>
      </c>
      <c r="D260">
        <v>3</v>
      </c>
      <c r="E260">
        <v>40000</v>
      </c>
      <c r="F260">
        <v>6</v>
      </c>
      <c r="G260">
        <v>15508</v>
      </c>
      <c r="H260">
        <v>0</v>
      </c>
      <c r="I260">
        <v>360</v>
      </c>
      <c r="J260">
        <v>0</v>
      </c>
      <c r="K260">
        <v>0</v>
      </c>
      <c r="L260">
        <v>0</v>
      </c>
      <c r="M260">
        <v>1</v>
      </c>
      <c r="N260">
        <v>20492</v>
      </c>
      <c r="O260">
        <v>36000</v>
      </c>
      <c r="P260">
        <v>204.92</v>
      </c>
      <c r="Q260">
        <v>360</v>
      </c>
      <c r="R260" t="s">
        <v>37</v>
      </c>
      <c r="S260" t="s">
        <v>1277</v>
      </c>
      <c r="T260" s="1">
        <v>43397.621562499997</v>
      </c>
      <c r="U260">
        <v>3</v>
      </c>
      <c r="V260" t="s">
        <v>38</v>
      </c>
      <c r="W260">
        <v>7</v>
      </c>
      <c r="X260" t="s">
        <v>49</v>
      </c>
      <c r="Y260">
        <v>10</v>
      </c>
      <c r="Z260">
        <v>0</v>
      </c>
      <c r="AA260" t="s">
        <v>50</v>
      </c>
      <c r="AB260">
        <v>0</v>
      </c>
      <c r="AC260" t="s">
        <v>43</v>
      </c>
      <c r="AD260">
        <v>155.08000000000001</v>
      </c>
      <c r="AE260">
        <v>400</v>
      </c>
      <c r="AF260">
        <v>0</v>
      </c>
      <c r="AG260">
        <v>0</v>
      </c>
      <c r="AH260" t="s">
        <v>746</v>
      </c>
      <c r="AI260" t="s">
        <v>43</v>
      </c>
    </row>
    <row r="261" spans="1:35" x14ac:dyDescent="0.25">
      <c r="A261">
        <v>433</v>
      </c>
      <c r="B261" t="s">
        <v>747</v>
      </c>
      <c r="C261" t="s">
        <v>349</v>
      </c>
      <c r="D261">
        <v>144</v>
      </c>
      <c r="E261">
        <v>2387</v>
      </c>
      <c r="F261">
        <v>74</v>
      </c>
      <c r="G261">
        <v>2281</v>
      </c>
      <c r="H261">
        <v>0</v>
      </c>
      <c r="I261">
        <v>134</v>
      </c>
      <c r="J261">
        <v>0</v>
      </c>
      <c r="K261">
        <v>2925</v>
      </c>
      <c r="L261">
        <v>2787</v>
      </c>
      <c r="M261">
        <v>1</v>
      </c>
      <c r="N261">
        <v>-132.69999999999999</v>
      </c>
      <c r="O261">
        <v>-638.70000000000005</v>
      </c>
      <c r="P261">
        <v>-1.33</v>
      </c>
      <c r="Q261">
        <v>-6.39</v>
      </c>
      <c r="R261" t="s">
        <v>59</v>
      </c>
      <c r="S261" t="s">
        <v>1277</v>
      </c>
      <c r="T261" s="1">
        <v>43397.621562499997</v>
      </c>
      <c r="U261">
        <v>2</v>
      </c>
      <c r="V261" t="s">
        <v>47</v>
      </c>
      <c r="W261">
        <v>3</v>
      </c>
      <c r="X261" t="s">
        <v>109</v>
      </c>
      <c r="Y261">
        <v>27</v>
      </c>
      <c r="Z261">
        <v>118</v>
      </c>
      <c r="AA261" t="s">
        <v>369</v>
      </c>
      <c r="AB261">
        <v>1</v>
      </c>
      <c r="AC261" t="s">
        <v>60</v>
      </c>
      <c r="AD261">
        <v>22.81</v>
      </c>
      <c r="AE261">
        <v>23.87</v>
      </c>
      <c r="AF261">
        <v>29.25</v>
      </c>
      <c r="AG261">
        <v>27.87</v>
      </c>
      <c r="AH261" t="s">
        <v>748</v>
      </c>
      <c r="AI261" t="s">
        <v>43</v>
      </c>
    </row>
    <row r="262" spans="1:35" x14ac:dyDescent="0.25">
      <c r="A262">
        <v>435</v>
      </c>
      <c r="B262" t="s">
        <v>749</v>
      </c>
      <c r="C262" t="s">
        <v>43</v>
      </c>
      <c r="D262">
        <v>12</v>
      </c>
      <c r="E262">
        <v>9600</v>
      </c>
      <c r="F262">
        <v>6</v>
      </c>
      <c r="G262">
        <v>5701</v>
      </c>
      <c r="H262">
        <v>0</v>
      </c>
      <c r="I262">
        <v>326</v>
      </c>
      <c r="J262">
        <v>0</v>
      </c>
      <c r="K262">
        <v>0</v>
      </c>
      <c r="L262">
        <v>0</v>
      </c>
      <c r="M262">
        <v>1</v>
      </c>
      <c r="N262">
        <v>2939</v>
      </c>
      <c r="O262">
        <v>8640</v>
      </c>
      <c r="P262">
        <v>29.39</v>
      </c>
      <c r="Q262">
        <v>86.4</v>
      </c>
      <c r="R262" t="s">
        <v>37</v>
      </c>
      <c r="S262" t="s">
        <v>1277</v>
      </c>
      <c r="T262" s="1">
        <v>43397.621562499997</v>
      </c>
      <c r="U262">
        <v>2</v>
      </c>
      <c r="V262" t="s">
        <v>47</v>
      </c>
      <c r="W262">
        <v>9</v>
      </c>
      <c r="X262" t="s">
        <v>45</v>
      </c>
      <c r="Y262">
        <v>44</v>
      </c>
      <c r="Z262">
        <v>0</v>
      </c>
      <c r="AA262" t="s">
        <v>718</v>
      </c>
      <c r="AB262">
        <v>0</v>
      </c>
      <c r="AC262" t="s">
        <v>43</v>
      </c>
      <c r="AD262">
        <v>57.01</v>
      </c>
      <c r="AE262">
        <v>96</v>
      </c>
      <c r="AF262">
        <v>0</v>
      </c>
      <c r="AG262">
        <v>0</v>
      </c>
      <c r="AH262" t="s">
        <v>750</v>
      </c>
      <c r="AI262" t="s">
        <v>43</v>
      </c>
    </row>
    <row r="263" spans="1:35" x14ac:dyDescent="0.25">
      <c r="A263">
        <v>436</v>
      </c>
      <c r="B263" t="s">
        <v>751</v>
      </c>
      <c r="C263" t="s">
        <v>43</v>
      </c>
      <c r="D263">
        <v>10</v>
      </c>
      <c r="E263">
        <v>6578</v>
      </c>
      <c r="F263">
        <v>11</v>
      </c>
      <c r="G263">
        <v>4356</v>
      </c>
      <c r="H263">
        <v>0</v>
      </c>
      <c r="I263">
        <v>381</v>
      </c>
      <c r="J263">
        <v>0</v>
      </c>
      <c r="K263">
        <v>0</v>
      </c>
      <c r="L263">
        <v>0</v>
      </c>
      <c r="M263">
        <v>1</v>
      </c>
      <c r="N263">
        <v>1564.2</v>
      </c>
      <c r="O263">
        <v>5920.2</v>
      </c>
      <c r="P263">
        <v>15.64</v>
      </c>
      <c r="Q263">
        <v>59.2</v>
      </c>
      <c r="R263" t="s">
        <v>37</v>
      </c>
      <c r="S263" t="s">
        <v>1277</v>
      </c>
      <c r="T263" s="1">
        <v>43397.621562499997</v>
      </c>
      <c r="U263">
        <v>1</v>
      </c>
      <c r="V263" t="s">
        <v>44</v>
      </c>
      <c r="W263">
        <v>9</v>
      </c>
      <c r="X263" t="s">
        <v>45</v>
      </c>
      <c r="Y263">
        <v>44</v>
      </c>
      <c r="Z263">
        <v>0</v>
      </c>
      <c r="AA263" t="s">
        <v>718</v>
      </c>
      <c r="AB263">
        <v>0</v>
      </c>
      <c r="AC263" t="s">
        <v>43</v>
      </c>
      <c r="AD263">
        <v>43.56</v>
      </c>
      <c r="AE263">
        <v>65.78</v>
      </c>
      <c r="AF263">
        <v>0</v>
      </c>
      <c r="AG263">
        <v>0</v>
      </c>
      <c r="AH263" t="s">
        <v>752</v>
      </c>
      <c r="AI263" t="s">
        <v>43</v>
      </c>
    </row>
    <row r="264" spans="1:35" x14ac:dyDescent="0.25">
      <c r="A264">
        <v>437</v>
      </c>
      <c r="B264" t="s">
        <v>753</v>
      </c>
      <c r="C264" t="s">
        <v>43</v>
      </c>
      <c r="D264">
        <v>13</v>
      </c>
      <c r="E264">
        <v>19995</v>
      </c>
      <c r="F264">
        <v>13</v>
      </c>
      <c r="G264">
        <v>13403</v>
      </c>
      <c r="H264">
        <v>0</v>
      </c>
      <c r="I264">
        <v>314</v>
      </c>
      <c r="J264">
        <v>0</v>
      </c>
      <c r="K264">
        <v>0</v>
      </c>
      <c r="L264">
        <v>0</v>
      </c>
      <c r="M264">
        <v>1</v>
      </c>
      <c r="N264">
        <v>4592.5</v>
      </c>
      <c r="O264">
        <v>17995.5</v>
      </c>
      <c r="P264">
        <v>45.93</v>
      </c>
      <c r="Q264">
        <v>179.96</v>
      </c>
      <c r="R264" t="s">
        <v>37</v>
      </c>
      <c r="S264" t="s">
        <v>1277</v>
      </c>
      <c r="T264" s="1">
        <v>43397.621562499997</v>
      </c>
      <c r="U264">
        <v>1</v>
      </c>
      <c r="V264" t="s">
        <v>44</v>
      </c>
      <c r="W264">
        <v>9</v>
      </c>
      <c r="X264" t="s">
        <v>45</v>
      </c>
      <c r="Y264">
        <v>44</v>
      </c>
      <c r="Z264">
        <v>0</v>
      </c>
      <c r="AA264" t="s">
        <v>718</v>
      </c>
      <c r="AB264">
        <v>0</v>
      </c>
      <c r="AC264" t="s">
        <v>43</v>
      </c>
      <c r="AD264">
        <v>134.03</v>
      </c>
      <c r="AE264">
        <v>199.95</v>
      </c>
      <c r="AF264">
        <v>0</v>
      </c>
      <c r="AG264">
        <v>0</v>
      </c>
      <c r="AH264" t="s">
        <v>754</v>
      </c>
      <c r="AI264" t="s">
        <v>43</v>
      </c>
    </row>
    <row r="265" spans="1:35" x14ac:dyDescent="0.25">
      <c r="A265">
        <v>438</v>
      </c>
      <c r="B265" t="s">
        <v>755</v>
      </c>
      <c r="C265" t="s">
        <v>43</v>
      </c>
      <c r="D265">
        <v>0</v>
      </c>
      <c r="E265">
        <v>0</v>
      </c>
      <c r="F265">
        <v>10</v>
      </c>
      <c r="G265">
        <v>70007</v>
      </c>
      <c r="H265">
        <v>0</v>
      </c>
      <c r="I265">
        <v>384</v>
      </c>
      <c r="J265">
        <v>0</v>
      </c>
      <c r="K265">
        <v>0</v>
      </c>
      <c r="L265">
        <v>0</v>
      </c>
      <c r="M265">
        <v>1</v>
      </c>
      <c r="N265">
        <v>-70007</v>
      </c>
      <c r="O265">
        <v>0</v>
      </c>
      <c r="P265">
        <v>-700.07</v>
      </c>
      <c r="Q265">
        <v>0</v>
      </c>
      <c r="R265" t="s">
        <v>37</v>
      </c>
      <c r="S265" t="s">
        <v>1277</v>
      </c>
      <c r="T265" s="1">
        <v>43397.621562499997</v>
      </c>
      <c r="U265">
        <v>3</v>
      </c>
      <c r="V265" t="s">
        <v>38</v>
      </c>
      <c r="W265">
        <v>9</v>
      </c>
      <c r="X265" t="s">
        <v>45</v>
      </c>
      <c r="Y265">
        <v>44</v>
      </c>
      <c r="Z265">
        <v>0</v>
      </c>
      <c r="AA265" t="s">
        <v>718</v>
      </c>
      <c r="AB265">
        <v>0</v>
      </c>
      <c r="AC265" t="s">
        <v>43</v>
      </c>
      <c r="AD265">
        <v>700.07</v>
      </c>
      <c r="AE265">
        <v>0</v>
      </c>
      <c r="AF265">
        <v>0</v>
      </c>
      <c r="AG265">
        <v>0</v>
      </c>
      <c r="AH265" t="s">
        <v>756</v>
      </c>
      <c r="AI265" t="s">
        <v>43</v>
      </c>
    </row>
    <row r="266" spans="1:35" x14ac:dyDescent="0.25">
      <c r="A266">
        <v>439</v>
      </c>
      <c r="B266" t="s">
        <v>757</v>
      </c>
      <c r="C266" t="s">
        <v>43</v>
      </c>
      <c r="D266">
        <v>15</v>
      </c>
      <c r="E266">
        <v>5975</v>
      </c>
      <c r="F266">
        <v>4</v>
      </c>
      <c r="G266">
        <v>3889</v>
      </c>
      <c r="H266">
        <v>0</v>
      </c>
      <c r="I266">
        <v>368</v>
      </c>
      <c r="J266">
        <v>0</v>
      </c>
      <c r="K266">
        <v>0</v>
      </c>
      <c r="L266">
        <v>0</v>
      </c>
      <c r="M266">
        <v>1</v>
      </c>
      <c r="N266">
        <v>1488.5</v>
      </c>
      <c r="O266">
        <v>5377.5</v>
      </c>
      <c r="P266">
        <v>14.89</v>
      </c>
      <c r="Q266">
        <v>53.78</v>
      </c>
      <c r="R266" t="s">
        <v>37</v>
      </c>
      <c r="S266" t="s">
        <v>1277</v>
      </c>
      <c r="T266" s="1">
        <v>43397.621562499997</v>
      </c>
      <c r="U266">
        <v>1</v>
      </c>
      <c r="V266" t="s">
        <v>44</v>
      </c>
      <c r="W266">
        <v>9</v>
      </c>
      <c r="X266" t="s">
        <v>45</v>
      </c>
      <c r="Y266">
        <v>44</v>
      </c>
      <c r="Z266">
        <v>0</v>
      </c>
      <c r="AA266" t="s">
        <v>718</v>
      </c>
      <c r="AB266">
        <v>0</v>
      </c>
      <c r="AC266" t="s">
        <v>43</v>
      </c>
      <c r="AD266">
        <v>38.89</v>
      </c>
      <c r="AE266">
        <v>59.75</v>
      </c>
      <c r="AF266">
        <v>0</v>
      </c>
      <c r="AG266">
        <v>0</v>
      </c>
      <c r="AH266" t="s">
        <v>758</v>
      </c>
      <c r="AI266" t="s">
        <v>43</v>
      </c>
    </row>
    <row r="267" spans="1:35" x14ac:dyDescent="0.25">
      <c r="A267">
        <v>440</v>
      </c>
      <c r="B267" t="s">
        <v>759</v>
      </c>
      <c r="C267" t="s">
        <v>43</v>
      </c>
      <c r="D267">
        <v>4</v>
      </c>
      <c r="E267">
        <v>1299999</v>
      </c>
      <c r="F267">
        <v>5</v>
      </c>
      <c r="G267">
        <v>500000</v>
      </c>
      <c r="H267">
        <v>0</v>
      </c>
      <c r="I267">
        <v>420</v>
      </c>
      <c r="J267">
        <v>0</v>
      </c>
      <c r="K267">
        <v>0</v>
      </c>
      <c r="L267">
        <v>0</v>
      </c>
      <c r="M267">
        <v>1</v>
      </c>
      <c r="N267">
        <v>669999.1</v>
      </c>
      <c r="O267">
        <v>1169999.1000000001</v>
      </c>
      <c r="P267">
        <v>6699.99</v>
      </c>
      <c r="Q267">
        <v>11699.99</v>
      </c>
      <c r="R267" t="s">
        <v>37</v>
      </c>
      <c r="S267" t="s">
        <v>1277</v>
      </c>
      <c r="T267" s="1">
        <v>43397.621562499997</v>
      </c>
      <c r="U267">
        <v>4</v>
      </c>
      <c r="V267" t="s">
        <v>55</v>
      </c>
      <c r="W267">
        <v>9</v>
      </c>
      <c r="X267" t="s">
        <v>45</v>
      </c>
      <c r="Y267">
        <v>44</v>
      </c>
      <c r="Z267">
        <v>0</v>
      </c>
      <c r="AA267" t="s">
        <v>718</v>
      </c>
      <c r="AB267">
        <v>0</v>
      </c>
      <c r="AC267" t="s">
        <v>43</v>
      </c>
      <c r="AD267">
        <v>5000</v>
      </c>
      <c r="AE267">
        <v>12999.99</v>
      </c>
      <c r="AF267">
        <v>0</v>
      </c>
      <c r="AG267">
        <v>0</v>
      </c>
      <c r="AH267" t="s">
        <v>760</v>
      </c>
      <c r="AI267" t="s">
        <v>43</v>
      </c>
    </row>
    <row r="268" spans="1:35" x14ac:dyDescent="0.25">
      <c r="A268">
        <v>441</v>
      </c>
      <c r="B268" t="s">
        <v>761</v>
      </c>
      <c r="C268" t="s">
        <v>43</v>
      </c>
      <c r="D268">
        <v>15</v>
      </c>
      <c r="E268">
        <v>5885</v>
      </c>
      <c r="F268">
        <v>3</v>
      </c>
      <c r="G268">
        <v>3142</v>
      </c>
      <c r="H268">
        <v>0</v>
      </c>
      <c r="I268">
        <v>397</v>
      </c>
      <c r="J268">
        <v>0</v>
      </c>
      <c r="K268">
        <v>0</v>
      </c>
      <c r="L268">
        <v>0</v>
      </c>
      <c r="M268">
        <v>1</v>
      </c>
      <c r="N268">
        <v>2154.5</v>
      </c>
      <c r="O268">
        <v>5296.5</v>
      </c>
      <c r="P268">
        <v>21.55</v>
      </c>
      <c r="Q268">
        <v>52.97</v>
      </c>
      <c r="R268" t="s">
        <v>37</v>
      </c>
      <c r="S268" t="s">
        <v>1277</v>
      </c>
      <c r="T268" s="1">
        <v>43397.621562499997</v>
      </c>
      <c r="U268">
        <v>1</v>
      </c>
      <c r="V268" t="s">
        <v>44</v>
      </c>
      <c r="W268">
        <v>9</v>
      </c>
      <c r="X268" t="s">
        <v>45</v>
      </c>
      <c r="Y268">
        <v>44</v>
      </c>
      <c r="Z268">
        <v>0</v>
      </c>
      <c r="AA268" t="s">
        <v>718</v>
      </c>
      <c r="AB268">
        <v>0</v>
      </c>
      <c r="AC268" t="s">
        <v>43</v>
      </c>
      <c r="AD268">
        <v>31.42</v>
      </c>
      <c r="AE268">
        <v>58.85</v>
      </c>
      <c r="AF268">
        <v>0</v>
      </c>
      <c r="AG268">
        <v>0</v>
      </c>
      <c r="AH268" t="s">
        <v>762</v>
      </c>
      <c r="AI268" t="s">
        <v>43</v>
      </c>
    </row>
    <row r="269" spans="1:35" x14ac:dyDescent="0.25">
      <c r="A269">
        <v>450</v>
      </c>
      <c r="B269" s="2" t="s">
        <v>763</v>
      </c>
      <c r="C269" t="s">
        <v>43</v>
      </c>
      <c r="D269">
        <v>172</v>
      </c>
      <c r="E269">
        <v>1989</v>
      </c>
      <c r="F269">
        <v>25</v>
      </c>
      <c r="G269">
        <v>1988</v>
      </c>
      <c r="H269">
        <v>0</v>
      </c>
      <c r="I269">
        <v>92</v>
      </c>
      <c r="J269">
        <v>1</v>
      </c>
      <c r="K269">
        <v>1960</v>
      </c>
      <c r="L269">
        <v>1756</v>
      </c>
      <c r="M269">
        <v>1</v>
      </c>
      <c r="N269">
        <v>-197.9</v>
      </c>
      <c r="O269">
        <v>34.1</v>
      </c>
      <c r="P269" s="2">
        <v>-1.98</v>
      </c>
      <c r="Q269">
        <v>0.34</v>
      </c>
      <c r="R269" t="s">
        <v>37</v>
      </c>
      <c r="S269" t="s">
        <v>1277</v>
      </c>
      <c r="T269" s="1">
        <v>43397.621562499997</v>
      </c>
      <c r="U269">
        <v>4</v>
      </c>
      <c r="V269" t="s">
        <v>55</v>
      </c>
      <c r="W269">
        <v>8</v>
      </c>
      <c r="X269" t="s">
        <v>118</v>
      </c>
      <c r="Y269">
        <v>8</v>
      </c>
      <c r="Z269">
        <v>121</v>
      </c>
      <c r="AA269" t="s">
        <v>232</v>
      </c>
      <c r="AB269">
        <v>1</v>
      </c>
      <c r="AC269" t="s">
        <v>60</v>
      </c>
      <c r="AD269">
        <v>19.88</v>
      </c>
      <c r="AE269">
        <v>19.89</v>
      </c>
      <c r="AF269">
        <v>19.600000000000001</v>
      </c>
      <c r="AG269">
        <v>17.559999999999999</v>
      </c>
      <c r="AH269" t="s">
        <v>764</v>
      </c>
      <c r="AI269" t="s">
        <v>43</v>
      </c>
    </row>
    <row r="270" spans="1:35" x14ac:dyDescent="0.25">
      <c r="A270">
        <v>451</v>
      </c>
      <c r="B270" t="s">
        <v>765</v>
      </c>
      <c r="C270" t="s">
        <v>766</v>
      </c>
      <c r="D270">
        <v>95</v>
      </c>
      <c r="E270">
        <v>1010</v>
      </c>
      <c r="F270">
        <v>49</v>
      </c>
      <c r="G270">
        <v>810</v>
      </c>
      <c r="H270">
        <v>0</v>
      </c>
      <c r="I270">
        <v>178</v>
      </c>
      <c r="J270">
        <v>0</v>
      </c>
      <c r="K270">
        <v>1568</v>
      </c>
      <c r="L270">
        <v>1564</v>
      </c>
      <c r="M270">
        <v>1</v>
      </c>
      <c r="N270">
        <v>99</v>
      </c>
      <c r="O270">
        <v>-655</v>
      </c>
      <c r="P270">
        <v>0.99</v>
      </c>
      <c r="Q270">
        <v>-6.55</v>
      </c>
      <c r="R270" t="s">
        <v>59</v>
      </c>
      <c r="S270" t="s">
        <v>1277</v>
      </c>
      <c r="T270" s="1">
        <v>43397.621562499997</v>
      </c>
      <c r="U270">
        <v>1</v>
      </c>
      <c r="V270" t="s">
        <v>44</v>
      </c>
      <c r="W270">
        <v>8</v>
      </c>
      <c r="X270" t="s">
        <v>118</v>
      </c>
      <c r="Y270">
        <v>8</v>
      </c>
      <c r="Z270">
        <v>122</v>
      </c>
      <c r="AA270" t="s">
        <v>232</v>
      </c>
      <c r="AB270">
        <v>1</v>
      </c>
      <c r="AC270" t="s">
        <v>60</v>
      </c>
      <c r="AD270">
        <v>8.1</v>
      </c>
      <c r="AE270">
        <v>10.1</v>
      </c>
      <c r="AF270">
        <v>15.68</v>
      </c>
      <c r="AG270">
        <v>15.64</v>
      </c>
      <c r="AH270" t="s">
        <v>767</v>
      </c>
      <c r="AI270" t="s">
        <v>43</v>
      </c>
    </row>
    <row r="271" spans="1:35" x14ac:dyDescent="0.25">
      <c r="A271">
        <v>453</v>
      </c>
      <c r="B271" t="s">
        <v>768</v>
      </c>
      <c r="C271" t="s">
        <v>43</v>
      </c>
      <c r="D271">
        <v>361</v>
      </c>
      <c r="E271">
        <v>173</v>
      </c>
      <c r="F271">
        <v>225</v>
      </c>
      <c r="G271">
        <v>170</v>
      </c>
      <c r="H271">
        <v>0</v>
      </c>
      <c r="I271">
        <v>209</v>
      </c>
      <c r="J271">
        <v>0</v>
      </c>
      <c r="K271">
        <v>0</v>
      </c>
      <c r="L271">
        <v>0</v>
      </c>
      <c r="M271">
        <v>1</v>
      </c>
      <c r="N271">
        <v>-14.3</v>
      </c>
      <c r="O271">
        <v>155.69999999999999</v>
      </c>
      <c r="P271">
        <v>-0.14000000000000001</v>
      </c>
      <c r="Q271">
        <v>1.56</v>
      </c>
      <c r="R271" t="s">
        <v>37</v>
      </c>
      <c r="S271" t="s">
        <v>1277</v>
      </c>
      <c r="T271" s="1">
        <v>43397.621562499997</v>
      </c>
      <c r="U271">
        <v>1</v>
      </c>
      <c r="V271" t="s">
        <v>44</v>
      </c>
      <c r="W271">
        <v>8</v>
      </c>
      <c r="X271" t="s">
        <v>118</v>
      </c>
      <c r="Y271">
        <v>8</v>
      </c>
      <c r="Z271">
        <v>0</v>
      </c>
      <c r="AA271" t="s">
        <v>232</v>
      </c>
      <c r="AB271">
        <v>0</v>
      </c>
      <c r="AC271" t="s">
        <v>43</v>
      </c>
      <c r="AD271">
        <v>1.7</v>
      </c>
      <c r="AE271">
        <v>1.73</v>
      </c>
      <c r="AF271">
        <v>0</v>
      </c>
      <c r="AG271">
        <v>0</v>
      </c>
      <c r="AH271" t="s">
        <v>769</v>
      </c>
      <c r="AI271" t="s">
        <v>43</v>
      </c>
    </row>
    <row r="272" spans="1:35" x14ac:dyDescent="0.25">
      <c r="A272">
        <v>454</v>
      </c>
      <c r="B272" s="2" t="s">
        <v>770</v>
      </c>
      <c r="C272" t="s">
        <v>43</v>
      </c>
      <c r="D272">
        <v>17</v>
      </c>
      <c r="E272">
        <v>119999</v>
      </c>
      <c r="F272">
        <v>7</v>
      </c>
      <c r="G272">
        <v>55110</v>
      </c>
      <c r="H272">
        <v>0</v>
      </c>
      <c r="I272">
        <v>215</v>
      </c>
      <c r="J272">
        <v>1</v>
      </c>
      <c r="K272">
        <v>5965</v>
      </c>
      <c r="L272">
        <v>5952</v>
      </c>
      <c r="M272">
        <v>1</v>
      </c>
      <c r="N272">
        <v>52889.1</v>
      </c>
      <c r="O272">
        <v>102047.1</v>
      </c>
      <c r="P272">
        <v>528.89</v>
      </c>
      <c r="Q272">
        <v>1020.47</v>
      </c>
      <c r="R272" t="s">
        <v>37</v>
      </c>
      <c r="S272" t="s">
        <v>1277</v>
      </c>
      <c r="T272" s="1">
        <v>43397.621562499997</v>
      </c>
      <c r="U272">
        <v>4</v>
      </c>
      <c r="V272" t="s">
        <v>55</v>
      </c>
      <c r="W272">
        <v>8</v>
      </c>
      <c r="X272" t="s">
        <v>118</v>
      </c>
      <c r="Y272">
        <v>8</v>
      </c>
      <c r="Z272">
        <v>120</v>
      </c>
      <c r="AA272" t="s">
        <v>232</v>
      </c>
      <c r="AB272">
        <v>1</v>
      </c>
      <c r="AC272" t="s">
        <v>60</v>
      </c>
      <c r="AD272">
        <v>551.1</v>
      </c>
      <c r="AE272">
        <v>1199.99</v>
      </c>
      <c r="AF272">
        <v>59.65</v>
      </c>
      <c r="AG272">
        <v>59.52</v>
      </c>
      <c r="AH272" t="s">
        <v>771</v>
      </c>
      <c r="AI272" t="s">
        <v>43</v>
      </c>
    </row>
    <row r="273" spans="1:35" x14ac:dyDescent="0.25">
      <c r="A273">
        <v>455</v>
      </c>
      <c r="B273" t="s">
        <v>772</v>
      </c>
      <c r="C273" t="s">
        <v>773</v>
      </c>
      <c r="D273">
        <v>56</v>
      </c>
      <c r="E273">
        <v>18945</v>
      </c>
      <c r="F273">
        <v>15</v>
      </c>
      <c r="G273">
        <v>17300</v>
      </c>
      <c r="H273">
        <v>0</v>
      </c>
      <c r="I273">
        <v>106</v>
      </c>
      <c r="J273">
        <v>0</v>
      </c>
      <c r="K273">
        <v>28000</v>
      </c>
      <c r="L273">
        <v>27384</v>
      </c>
      <c r="M273">
        <v>1</v>
      </c>
      <c r="N273">
        <v>-249.5</v>
      </c>
      <c r="O273">
        <v>-10333.5</v>
      </c>
      <c r="P273">
        <v>-2.5</v>
      </c>
      <c r="Q273">
        <v>-103.34</v>
      </c>
      <c r="R273" t="s">
        <v>59</v>
      </c>
      <c r="S273" t="s">
        <v>1277</v>
      </c>
      <c r="T273" s="1">
        <v>43397.621562499997</v>
      </c>
      <c r="U273">
        <v>3</v>
      </c>
      <c r="V273" t="s">
        <v>38</v>
      </c>
      <c r="W273">
        <v>2</v>
      </c>
      <c r="X273" t="s">
        <v>39</v>
      </c>
      <c r="Y273">
        <v>9</v>
      </c>
      <c r="Z273">
        <v>144</v>
      </c>
      <c r="AA273" t="s">
        <v>226</v>
      </c>
      <c r="AB273">
        <v>2</v>
      </c>
      <c r="AC273" t="s">
        <v>41</v>
      </c>
      <c r="AD273">
        <v>173</v>
      </c>
      <c r="AE273">
        <v>189.45</v>
      </c>
      <c r="AF273">
        <v>280</v>
      </c>
      <c r="AG273">
        <v>273.83999999999997</v>
      </c>
      <c r="AH273" t="s">
        <v>774</v>
      </c>
      <c r="AI273" t="s">
        <v>43</v>
      </c>
    </row>
    <row r="274" spans="1:35" x14ac:dyDescent="0.25">
      <c r="A274">
        <v>456</v>
      </c>
      <c r="B274" t="s">
        <v>775</v>
      </c>
      <c r="C274" t="s">
        <v>776</v>
      </c>
      <c r="D274">
        <v>33</v>
      </c>
      <c r="E274">
        <v>235000</v>
      </c>
      <c r="F274">
        <v>30</v>
      </c>
      <c r="G274">
        <v>220000</v>
      </c>
      <c r="H274">
        <v>0</v>
      </c>
      <c r="I274">
        <v>2</v>
      </c>
      <c r="J274">
        <v>0</v>
      </c>
      <c r="K274">
        <v>205304</v>
      </c>
      <c r="L274">
        <v>194573</v>
      </c>
      <c r="M274">
        <v>1</v>
      </c>
      <c r="N274">
        <v>-8500</v>
      </c>
      <c r="O274">
        <v>16927</v>
      </c>
      <c r="P274">
        <v>-85</v>
      </c>
      <c r="Q274">
        <v>169.27</v>
      </c>
      <c r="R274" t="s">
        <v>37</v>
      </c>
      <c r="S274" t="s">
        <v>1277</v>
      </c>
      <c r="T274" s="1">
        <v>43397.621562499997</v>
      </c>
      <c r="U274">
        <v>4</v>
      </c>
      <c r="V274" t="s">
        <v>55</v>
      </c>
      <c r="W274">
        <v>2</v>
      </c>
      <c r="X274" t="s">
        <v>39</v>
      </c>
      <c r="Y274">
        <v>31</v>
      </c>
      <c r="Z274">
        <v>145</v>
      </c>
      <c r="AA274" t="s">
        <v>76</v>
      </c>
      <c r="AB274">
        <v>5</v>
      </c>
      <c r="AC274" t="s">
        <v>599</v>
      </c>
      <c r="AD274">
        <v>2200</v>
      </c>
      <c r="AE274">
        <v>2350</v>
      </c>
      <c r="AF274">
        <v>2053.04</v>
      </c>
      <c r="AG274">
        <v>1945.73</v>
      </c>
      <c r="AH274" t="s">
        <v>777</v>
      </c>
    </row>
    <row r="275" spans="1:35" x14ac:dyDescent="0.25">
      <c r="A275">
        <v>457</v>
      </c>
      <c r="B275" t="s">
        <v>778</v>
      </c>
      <c r="C275" t="s">
        <v>779</v>
      </c>
      <c r="D275">
        <v>69</v>
      </c>
      <c r="E275">
        <v>2999</v>
      </c>
      <c r="F275">
        <v>31</v>
      </c>
      <c r="G275">
        <v>2651</v>
      </c>
      <c r="H275">
        <v>0</v>
      </c>
      <c r="I275">
        <v>98</v>
      </c>
      <c r="J275">
        <v>0</v>
      </c>
      <c r="K275">
        <v>2825</v>
      </c>
      <c r="L275">
        <v>2747</v>
      </c>
      <c r="M275">
        <v>1</v>
      </c>
      <c r="N275">
        <v>48.1</v>
      </c>
      <c r="O275">
        <v>-47.9</v>
      </c>
      <c r="P275">
        <v>0.48</v>
      </c>
      <c r="Q275">
        <v>-0.48</v>
      </c>
      <c r="R275" t="s">
        <v>59</v>
      </c>
      <c r="S275" t="s">
        <v>1277</v>
      </c>
      <c r="T275" s="1">
        <v>43397.621562499997</v>
      </c>
      <c r="U275">
        <v>2</v>
      </c>
      <c r="V275" t="s">
        <v>47</v>
      </c>
      <c r="W275">
        <v>2</v>
      </c>
      <c r="X275" t="s">
        <v>39</v>
      </c>
      <c r="Y275">
        <v>26</v>
      </c>
      <c r="Z275">
        <v>143</v>
      </c>
      <c r="AA275" t="s">
        <v>40</v>
      </c>
      <c r="AB275">
        <v>2</v>
      </c>
      <c r="AC275" t="s">
        <v>41</v>
      </c>
      <c r="AD275">
        <v>26.51</v>
      </c>
      <c r="AE275">
        <v>29.99</v>
      </c>
      <c r="AF275">
        <v>28.25</v>
      </c>
      <c r="AG275">
        <v>27.47</v>
      </c>
      <c r="AH275" t="s">
        <v>780</v>
      </c>
    </row>
    <row r="276" spans="1:35" x14ac:dyDescent="0.25">
      <c r="A276">
        <v>458</v>
      </c>
      <c r="B276" t="s">
        <v>781</v>
      </c>
      <c r="C276" t="s">
        <v>344</v>
      </c>
      <c r="D276">
        <v>12</v>
      </c>
      <c r="E276">
        <v>7100</v>
      </c>
      <c r="F276">
        <v>11</v>
      </c>
      <c r="G276">
        <v>5734</v>
      </c>
      <c r="H276">
        <v>0</v>
      </c>
      <c r="I276">
        <v>245</v>
      </c>
      <c r="J276">
        <v>1</v>
      </c>
      <c r="K276">
        <v>14399</v>
      </c>
      <c r="L276">
        <v>10018</v>
      </c>
      <c r="M276">
        <v>1</v>
      </c>
      <c r="N276">
        <v>656</v>
      </c>
      <c r="O276">
        <v>-3628</v>
      </c>
      <c r="P276">
        <v>6.56</v>
      </c>
      <c r="Q276">
        <v>-36.28</v>
      </c>
      <c r="R276" t="s">
        <v>59</v>
      </c>
      <c r="S276" t="s">
        <v>1277</v>
      </c>
      <c r="T276" s="1">
        <v>43397.621562499997</v>
      </c>
      <c r="U276">
        <v>3</v>
      </c>
      <c r="V276" t="s">
        <v>38</v>
      </c>
      <c r="W276">
        <v>6</v>
      </c>
      <c r="X276" t="s">
        <v>350</v>
      </c>
      <c r="Y276">
        <v>10</v>
      </c>
      <c r="Z276">
        <v>125</v>
      </c>
      <c r="AA276" t="s">
        <v>50</v>
      </c>
      <c r="AB276">
        <v>1</v>
      </c>
      <c r="AC276" t="s">
        <v>60</v>
      </c>
      <c r="AD276">
        <v>57.34</v>
      </c>
      <c r="AE276">
        <v>71</v>
      </c>
      <c r="AF276">
        <v>143.99</v>
      </c>
      <c r="AG276">
        <v>100.18</v>
      </c>
      <c r="AH276" t="s">
        <v>782</v>
      </c>
      <c r="AI276" t="s">
        <v>43</v>
      </c>
    </row>
    <row r="277" spans="1:35" x14ac:dyDescent="0.25">
      <c r="A277">
        <v>460</v>
      </c>
      <c r="B277" t="s">
        <v>783</v>
      </c>
      <c r="C277" t="s">
        <v>48</v>
      </c>
      <c r="D277">
        <v>22</v>
      </c>
      <c r="E277">
        <v>1698</v>
      </c>
      <c r="F277">
        <v>16</v>
      </c>
      <c r="G277">
        <v>1113</v>
      </c>
      <c r="H277">
        <v>0</v>
      </c>
      <c r="I277">
        <v>337</v>
      </c>
      <c r="J277">
        <v>1</v>
      </c>
      <c r="K277">
        <v>3122</v>
      </c>
      <c r="L277">
        <v>2501</v>
      </c>
      <c r="M277">
        <v>1</v>
      </c>
      <c r="N277">
        <v>415.2</v>
      </c>
      <c r="O277">
        <v>-972.8</v>
      </c>
      <c r="P277">
        <v>4.1500000000000004</v>
      </c>
      <c r="Q277">
        <v>-9.73</v>
      </c>
      <c r="R277" t="s">
        <v>59</v>
      </c>
      <c r="S277" t="s">
        <v>1277</v>
      </c>
      <c r="T277" s="1">
        <v>43397.621562499997</v>
      </c>
      <c r="U277">
        <v>2</v>
      </c>
      <c r="V277" t="s">
        <v>47</v>
      </c>
      <c r="W277">
        <v>7</v>
      </c>
      <c r="X277" t="s">
        <v>49</v>
      </c>
      <c r="Y277">
        <v>10</v>
      </c>
      <c r="Z277">
        <v>127</v>
      </c>
      <c r="AA277" t="s">
        <v>50</v>
      </c>
      <c r="AB277">
        <v>1</v>
      </c>
      <c r="AC277" t="s">
        <v>60</v>
      </c>
      <c r="AD277">
        <v>11.13</v>
      </c>
      <c r="AE277">
        <v>16.98</v>
      </c>
      <c r="AF277">
        <v>31.22</v>
      </c>
      <c r="AG277">
        <v>25.01</v>
      </c>
      <c r="AH277" t="s">
        <v>784</v>
      </c>
      <c r="AI277" t="s">
        <v>43</v>
      </c>
    </row>
    <row r="278" spans="1:35" x14ac:dyDescent="0.25">
      <c r="A278">
        <v>462</v>
      </c>
      <c r="B278" t="s">
        <v>785</v>
      </c>
      <c r="C278" t="s">
        <v>786</v>
      </c>
      <c r="D278">
        <v>51</v>
      </c>
      <c r="E278">
        <v>1285</v>
      </c>
      <c r="F278">
        <v>6</v>
      </c>
      <c r="G278">
        <v>1000</v>
      </c>
      <c r="H278">
        <v>0</v>
      </c>
      <c r="I278">
        <v>157</v>
      </c>
      <c r="J278">
        <v>0</v>
      </c>
      <c r="K278">
        <v>0</v>
      </c>
      <c r="L278">
        <v>0</v>
      </c>
      <c r="M278">
        <v>1</v>
      </c>
      <c r="N278">
        <v>156.5</v>
      </c>
      <c r="O278">
        <v>1156.5</v>
      </c>
      <c r="P278">
        <v>1.57</v>
      </c>
      <c r="Q278">
        <v>11.57</v>
      </c>
      <c r="R278" t="s">
        <v>37</v>
      </c>
      <c r="S278" t="s">
        <v>1277</v>
      </c>
      <c r="T278" s="1">
        <v>43397.621562499997</v>
      </c>
      <c r="U278">
        <v>2</v>
      </c>
      <c r="V278" t="s">
        <v>47</v>
      </c>
      <c r="W278">
        <v>8</v>
      </c>
      <c r="X278" t="s">
        <v>118</v>
      </c>
      <c r="Y278">
        <v>8</v>
      </c>
      <c r="Z278">
        <v>0</v>
      </c>
      <c r="AA278" t="s">
        <v>232</v>
      </c>
      <c r="AB278">
        <v>0</v>
      </c>
      <c r="AC278" t="s">
        <v>43</v>
      </c>
      <c r="AD278">
        <v>10</v>
      </c>
      <c r="AE278">
        <v>12.85</v>
      </c>
      <c r="AF278">
        <v>0</v>
      </c>
      <c r="AG278">
        <v>0</v>
      </c>
      <c r="AH278" t="s">
        <v>787</v>
      </c>
      <c r="AI278" t="s">
        <v>43</v>
      </c>
    </row>
    <row r="279" spans="1:35" x14ac:dyDescent="0.25">
      <c r="A279">
        <v>464</v>
      </c>
      <c r="B279" t="s">
        <v>788</v>
      </c>
      <c r="C279" t="s">
        <v>789</v>
      </c>
      <c r="D279">
        <v>523</v>
      </c>
      <c r="E279">
        <v>3844</v>
      </c>
      <c r="F279">
        <v>72</v>
      </c>
      <c r="G279">
        <v>3790</v>
      </c>
      <c r="H279">
        <v>0</v>
      </c>
      <c r="I279">
        <v>49</v>
      </c>
      <c r="J279">
        <v>0</v>
      </c>
      <c r="K279">
        <v>0</v>
      </c>
      <c r="L279">
        <v>0</v>
      </c>
      <c r="M279">
        <v>1</v>
      </c>
      <c r="N279">
        <v>-330.4</v>
      </c>
      <c r="O279">
        <v>3459.6</v>
      </c>
      <c r="P279">
        <v>-3.3</v>
      </c>
      <c r="Q279">
        <v>34.6</v>
      </c>
      <c r="R279" t="s">
        <v>37</v>
      </c>
      <c r="S279" t="s">
        <v>1277</v>
      </c>
      <c r="T279" s="1">
        <v>43397.621562499997</v>
      </c>
      <c r="U279">
        <v>2</v>
      </c>
      <c r="V279" t="s">
        <v>47</v>
      </c>
      <c r="W279">
        <v>8</v>
      </c>
      <c r="X279" t="s">
        <v>118</v>
      </c>
      <c r="Y279">
        <v>8</v>
      </c>
      <c r="Z279">
        <v>0</v>
      </c>
      <c r="AA279" t="s">
        <v>232</v>
      </c>
      <c r="AB279">
        <v>0</v>
      </c>
      <c r="AC279" t="s">
        <v>43</v>
      </c>
      <c r="AD279">
        <v>37.9</v>
      </c>
      <c r="AE279">
        <v>38.44</v>
      </c>
      <c r="AF279">
        <v>0</v>
      </c>
      <c r="AG279">
        <v>0</v>
      </c>
      <c r="AH279" t="s">
        <v>790</v>
      </c>
      <c r="AI279" t="s">
        <v>43</v>
      </c>
    </row>
    <row r="280" spans="1:35" x14ac:dyDescent="0.25">
      <c r="A280">
        <v>465</v>
      </c>
      <c r="B280" t="s">
        <v>791</v>
      </c>
      <c r="C280" t="s">
        <v>792</v>
      </c>
      <c r="D280">
        <v>213</v>
      </c>
      <c r="E280">
        <v>832</v>
      </c>
      <c r="F280">
        <v>68</v>
      </c>
      <c r="G280">
        <v>651</v>
      </c>
      <c r="H280">
        <v>0</v>
      </c>
      <c r="I280">
        <v>138</v>
      </c>
      <c r="J280">
        <v>0</v>
      </c>
      <c r="K280">
        <v>0</v>
      </c>
      <c r="L280">
        <v>0</v>
      </c>
      <c r="M280">
        <v>1</v>
      </c>
      <c r="N280">
        <v>97.8</v>
      </c>
      <c r="O280">
        <v>748.8</v>
      </c>
      <c r="P280">
        <v>0.98</v>
      </c>
      <c r="Q280">
        <v>7.49</v>
      </c>
      <c r="R280" t="s">
        <v>37</v>
      </c>
      <c r="S280" t="s">
        <v>1277</v>
      </c>
      <c r="T280" s="1">
        <v>43397.621562499997</v>
      </c>
      <c r="U280">
        <v>1</v>
      </c>
      <c r="V280" t="s">
        <v>44</v>
      </c>
      <c r="W280">
        <v>8</v>
      </c>
      <c r="X280" t="s">
        <v>118</v>
      </c>
      <c r="Y280">
        <v>8</v>
      </c>
      <c r="Z280">
        <v>0</v>
      </c>
      <c r="AA280" t="s">
        <v>232</v>
      </c>
      <c r="AB280">
        <v>0</v>
      </c>
      <c r="AC280" t="s">
        <v>43</v>
      </c>
      <c r="AD280">
        <v>6.51</v>
      </c>
      <c r="AE280">
        <v>8.32</v>
      </c>
      <c r="AF280">
        <v>0</v>
      </c>
      <c r="AG280">
        <v>0</v>
      </c>
      <c r="AH280" t="s">
        <v>793</v>
      </c>
      <c r="AI280" t="s">
        <v>43</v>
      </c>
    </row>
    <row r="281" spans="1:35" x14ac:dyDescent="0.25">
      <c r="A281">
        <v>467</v>
      </c>
      <c r="B281" t="s">
        <v>794</v>
      </c>
      <c r="C281" t="s">
        <v>48</v>
      </c>
      <c r="D281">
        <v>12</v>
      </c>
      <c r="E281">
        <v>600</v>
      </c>
      <c r="F281">
        <v>42</v>
      </c>
      <c r="G281">
        <v>400</v>
      </c>
      <c r="H281">
        <v>0</v>
      </c>
      <c r="I281">
        <v>315</v>
      </c>
      <c r="J281">
        <v>0</v>
      </c>
      <c r="K281">
        <v>0</v>
      </c>
      <c r="L281">
        <v>0</v>
      </c>
      <c r="M281">
        <v>1</v>
      </c>
      <c r="N281">
        <v>140</v>
      </c>
      <c r="O281">
        <v>540</v>
      </c>
      <c r="P281">
        <v>1.4</v>
      </c>
      <c r="Q281">
        <v>5.4</v>
      </c>
      <c r="R281" t="s">
        <v>37</v>
      </c>
      <c r="S281" t="s">
        <v>1277</v>
      </c>
      <c r="T281" s="1">
        <v>43397.621562499997</v>
      </c>
      <c r="U281">
        <v>5</v>
      </c>
      <c r="V281" t="s">
        <v>140</v>
      </c>
      <c r="W281">
        <v>7</v>
      </c>
      <c r="X281" t="s">
        <v>49</v>
      </c>
      <c r="Y281">
        <v>10</v>
      </c>
      <c r="Z281">
        <v>0</v>
      </c>
      <c r="AA281" t="s">
        <v>50</v>
      </c>
      <c r="AB281">
        <v>0</v>
      </c>
      <c r="AC281" t="s">
        <v>43</v>
      </c>
      <c r="AD281">
        <v>4</v>
      </c>
      <c r="AE281">
        <v>6</v>
      </c>
      <c r="AF281">
        <v>0</v>
      </c>
      <c r="AG281">
        <v>0</v>
      </c>
      <c r="AH281" t="s">
        <v>795</v>
      </c>
      <c r="AI281" t="s">
        <v>43</v>
      </c>
    </row>
    <row r="282" spans="1:35" x14ac:dyDescent="0.25">
      <c r="A282">
        <v>468</v>
      </c>
      <c r="B282" t="s">
        <v>796</v>
      </c>
      <c r="C282" t="s">
        <v>48</v>
      </c>
      <c r="D282">
        <v>41</v>
      </c>
      <c r="E282">
        <v>969</v>
      </c>
      <c r="F282">
        <v>14</v>
      </c>
      <c r="G282">
        <v>566</v>
      </c>
      <c r="H282">
        <v>0</v>
      </c>
      <c r="I282">
        <v>324</v>
      </c>
      <c r="J282">
        <v>0</v>
      </c>
      <c r="K282">
        <v>0</v>
      </c>
      <c r="L282">
        <v>0</v>
      </c>
      <c r="M282">
        <v>1</v>
      </c>
      <c r="N282">
        <v>306.10000000000002</v>
      </c>
      <c r="O282">
        <v>872.1</v>
      </c>
      <c r="P282">
        <v>3.06</v>
      </c>
      <c r="Q282">
        <v>8.7200000000000006</v>
      </c>
      <c r="R282" t="s">
        <v>37</v>
      </c>
      <c r="S282" t="s">
        <v>1277</v>
      </c>
      <c r="T282" s="1">
        <v>43397.621562499997</v>
      </c>
      <c r="U282">
        <v>5</v>
      </c>
      <c r="V282" t="s">
        <v>140</v>
      </c>
      <c r="W282">
        <v>7</v>
      </c>
      <c r="X282" t="s">
        <v>49</v>
      </c>
      <c r="Y282">
        <v>10</v>
      </c>
      <c r="Z282">
        <v>0</v>
      </c>
      <c r="AA282" t="s">
        <v>50</v>
      </c>
      <c r="AB282">
        <v>0</v>
      </c>
      <c r="AC282" t="s">
        <v>43</v>
      </c>
      <c r="AD282">
        <v>5.66</v>
      </c>
      <c r="AE282">
        <v>9.69</v>
      </c>
      <c r="AF282">
        <v>0</v>
      </c>
      <c r="AG282">
        <v>0</v>
      </c>
      <c r="AH282" t="s">
        <v>797</v>
      </c>
      <c r="AI282" t="s">
        <v>43</v>
      </c>
    </row>
    <row r="283" spans="1:35" x14ac:dyDescent="0.25">
      <c r="A283">
        <v>471</v>
      </c>
      <c r="B283" t="s">
        <v>798</v>
      </c>
      <c r="C283" t="s">
        <v>799</v>
      </c>
      <c r="D283">
        <v>18</v>
      </c>
      <c r="E283">
        <v>676</v>
      </c>
      <c r="F283">
        <v>23</v>
      </c>
      <c r="G283">
        <v>500</v>
      </c>
      <c r="H283">
        <v>0</v>
      </c>
      <c r="I283">
        <v>273</v>
      </c>
      <c r="J283">
        <v>0</v>
      </c>
      <c r="K283">
        <v>0</v>
      </c>
      <c r="L283">
        <v>0</v>
      </c>
      <c r="M283">
        <v>1</v>
      </c>
      <c r="N283">
        <v>108.4</v>
      </c>
      <c r="O283">
        <v>608.4</v>
      </c>
      <c r="P283">
        <v>1.08</v>
      </c>
      <c r="Q283">
        <v>6.08</v>
      </c>
      <c r="R283" t="s">
        <v>37</v>
      </c>
      <c r="S283" t="s">
        <v>1277</v>
      </c>
      <c r="T283" s="1">
        <v>43397.621562499997</v>
      </c>
      <c r="U283">
        <v>3</v>
      </c>
      <c r="V283" t="s">
        <v>38</v>
      </c>
      <c r="W283">
        <v>7</v>
      </c>
      <c r="X283" t="s">
        <v>49</v>
      </c>
      <c r="Y283">
        <v>10</v>
      </c>
      <c r="Z283">
        <v>0</v>
      </c>
      <c r="AA283" t="s">
        <v>50</v>
      </c>
      <c r="AB283">
        <v>0</v>
      </c>
      <c r="AC283" t="s">
        <v>43</v>
      </c>
      <c r="AD283">
        <v>5</v>
      </c>
      <c r="AE283">
        <v>6.76</v>
      </c>
      <c r="AF283">
        <v>0</v>
      </c>
      <c r="AG283">
        <v>0</v>
      </c>
      <c r="AH283" t="s">
        <v>800</v>
      </c>
      <c r="AI283" t="s">
        <v>43</v>
      </c>
    </row>
    <row r="284" spans="1:35" x14ac:dyDescent="0.25">
      <c r="A284">
        <v>475</v>
      </c>
      <c r="B284" t="s">
        <v>801</v>
      </c>
      <c r="C284" t="s">
        <v>802</v>
      </c>
      <c r="D284">
        <v>164</v>
      </c>
      <c r="E284">
        <v>3144</v>
      </c>
      <c r="F284">
        <v>69</v>
      </c>
      <c r="G284">
        <v>2744</v>
      </c>
      <c r="H284">
        <v>0</v>
      </c>
      <c r="I284">
        <v>31</v>
      </c>
      <c r="J284">
        <v>0</v>
      </c>
      <c r="K284">
        <v>2658</v>
      </c>
      <c r="L284">
        <v>2573</v>
      </c>
      <c r="M284">
        <v>1</v>
      </c>
      <c r="N284">
        <v>85.6</v>
      </c>
      <c r="O284">
        <v>256.60000000000002</v>
      </c>
      <c r="P284">
        <v>0.86</v>
      </c>
      <c r="Q284">
        <v>2.57</v>
      </c>
      <c r="R284" t="s">
        <v>37</v>
      </c>
      <c r="S284" t="s">
        <v>1277</v>
      </c>
      <c r="T284" s="1">
        <v>43397.621562499997</v>
      </c>
      <c r="U284">
        <v>2</v>
      </c>
      <c r="V284" t="s">
        <v>47</v>
      </c>
      <c r="W284">
        <v>2</v>
      </c>
      <c r="X284" t="s">
        <v>39</v>
      </c>
      <c r="Y284">
        <v>46</v>
      </c>
      <c r="Z284">
        <v>135</v>
      </c>
      <c r="AA284" t="s">
        <v>803</v>
      </c>
      <c r="AB284">
        <v>6</v>
      </c>
      <c r="AC284" t="s">
        <v>282</v>
      </c>
      <c r="AD284">
        <v>27.44</v>
      </c>
      <c r="AE284">
        <v>31.44</v>
      </c>
      <c r="AF284">
        <v>26.58</v>
      </c>
      <c r="AG284">
        <v>25.73</v>
      </c>
      <c r="AH284" t="s">
        <v>804</v>
      </c>
    </row>
    <row r="285" spans="1:35" x14ac:dyDescent="0.25">
      <c r="A285">
        <v>479</v>
      </c>
      <c r="B285" t="s">
        <v>805</v>
      </c>
      <c r="C285" t="s">
        <v>806</v>
      </c>
      <c r="D285">
        <v>77</v>
      </c>
      <c r="E285">
        <v>41491</v>
      </c>
      <c r="F285">
        <v>30</v>
      </c>
      <c r="G285">
        <v>40000</v>
      </c>
      <c r="H285">
        <v>0</v>
      </c>
      <c r="I285">
        <v>43</v>
      </c>
      <c r="J285">
        <v>0</v>
      </c>
      <c r="K285">
        <v>0</v>
      </c>
      <c r="L285">
        <v>0</v>
      </c>
      <c r="M285">
        <v>1</v>
      </c>
      <c r="N285">
        <v>-2658.1</v>
      </c>
      <c r="O285">
        <v>37341.9</v>
      </c>
      <c r="P285">
        <v>-26.58</v>
      </c>
      <c r="Q285">
        <v>373.42</v>
      </c>
      <c r="R285" t="s">
        <v>37</v>
      </c>
      <c r="S285" t="s">
        <v>1277</v>
      </c>
      <c r="T285" s="1">
        <v>43397.621562499997</v>
      </c>
      <c r="U285">
        <v>3</v>
      </c>
      <c r="V285" t="s">
        <v>38</v>
      </c>
      <c r="W285">
        <v>4</v>
      </c>
      <c r="X285" t="s">
        <v>114</v>
      </c>
      <c r="Y285">
        <v>47</v>
      </c>
      <c r="Z285">
        <v>0</v>
      </c>
      <c r="AA285" t="s">
        <v>807</v>
      </c>
      <c r="AB285">
        <v>0</v>
      </c>
      <c r="AC285" t="s">
        <v>43</v>
      </c>
      <c r="AD285">
        <v>400</v>
      </c>
      <c r="AE285">
        <v>414.91</v>
      </c>
      <c r="AF285">
        <v>0</v>
      </c>
      <c r="AG285">
        <v>0</v>
      </c>
      <c r="AH285" t="s">
        <v>808</v>
      </c>
    </row>
    <row r="286" spans="1:35" x14ac:dyDescent="0.25">
      <c r="A286">
        <v>481</v>
      </c>
      <c r="B286" t="s">
        <v>809</v>
      </c>
      <c r="C286" t="s">
        <v>287</v>
      </c>
      <c r="D286">
        <v>18</v>
      </c>
      <c r="E286">
        <v>8370</v>
      </c>
      <c r="F286">
        <v>15</v>
      </c>
      <c r="G286">
        <v>7400</v>
      </c>
      <c r="H286">
        <v>0</v>
      </c>
      <c r="I286">
        <v>189</v>
      </c>
      <c r="J286">
        <v>0</v>
      </c>
      <c r="K286">
        <v>0</v>
      </c>
      <c r="L286">
        <v>0</v>
      </c>
      <c r="M286">
        <v>1</v>
      </c>
      <c r="N286">
        <v>133</v>
      </c>
      <c r="O286">
        <v>7533</v>
      </c>
      <c r="P286">
        <v>1.33</v>
      </c>
      <c r="Q286">
        <v>75.33</v>
      </c>
      <c r="R286" t="s">
        <v>37</v>
      </c>
      <c r="S286" t="s">
        <v>1277</v>
      </c>
      <c r="T286" s="1">
        <v>43397.621562499997</v>
      </c>
      <c r="U286">
        <v>5</v>
      </c>
      <c r="V286" t="s">
        <v>140</v>
      </c>
      <c r="W286">
        <v>6</v>
      </c>
      <c r="X286" t="s">
        <v>350</v>
      </c>
      <c r="Y286">
        <v>10</v>
      </c>
      <c r="Z286">
        <v>0</v>
      </c>
      <c r="AA286" t="s">
        <v>50</v>
      </c>
      <c r="AB286">
        <v>0</v>
      </c>
      <c r="AC286" t="s">
        <v>43</v>
      </c>
      <c r="AD286">
        <v>74</v>
      </c>
      <c r="AE286">
        <v>83.7</v>
      </c>
      <c r="AF286">
        <v>0</v>
      </c>
      <c r="AG286">
        <v>0</v>
      </c>
      <c r="AH286" t="s">
        <v>810</v>
      </c>
      <c r="AI286" t="s">
        <v>43</v>
      </c>
    </row>
    <row r="287" spans="1:35" x14ac:dyDescent="0.25">
      <c r="A287">
        <v>482</v>
      </c>
      <c r="B287" t="s">
        <v>811</v>
      </c>
      <c r="C287" t="s">
        <v>812</v>
      </c>
      <c r="D287">
        <v>57</v>
      </c>
      <c r="E287">
        <v>3069</v>
      </c>
      <c r="F287">
        <v>38</v>
      </c>
      <c r="G287">
        <v>2650</v>
      </c>
      <c r="H287">
        <v>0</v>
      </c>
      <c r="I287">
        <v>119</v>
      </c>
      <c r="J287">
        <v>0</v>
      </c>
      <c r="K287">
        <v>2678</v>
      </c>
      <c r="L287">
        <v>2612</v>
      </c>
      <c r="M287">
        <v>1</v>
      </c>
      <c r="N287">
        <v>112.1</v>
      </c>
      <c r="O287">
        <v>150.1</v>
      </c>
      <c r="P287">
        <v>1.1200000000000001</v>
      </c>
      <c r="Q287">
        <v>1.5</v>
      </c>
      <c r="R287" t="s">
        <v>37</v>
      </c>
      <c r="S287" t="s">
        <v>1277</v>
      </c>
      <c r="T287" s="1">
        <v>43397.621562499997</v>
      </c>
      <c r="U287">
        <v>2</v>
      </c>
      <c r="V287" t="s">
        <v>47</v>
      </c>
      <c r="W287">
        <v>4</v>
      </c>
      <c r="X287" t="s">
        <v>114</v>
      </c>
      <c r="Y287">
        <v>35</v>
      </c>
      <c r="Z287">
        <v>134</v>
      </c>
      <c r="AA287" t="s">
        <v>165</v>
      </c>
      <c r="AB287">
        <v>6</v>
      </c>
      <c r="AC287" t="s">
        <v>282</v>
      </c>
      <c r="AD287">
        <v>26.5</v>
      </c>
      <c r="AE287">
        <v>30.69</v>
      </c>
      <c r="AF287">
        <v>26.78</v>
      </c>
      <c r="AG287">
        <v>26.12</v>
      </c>
      <c r="AH287" t="s">
        <v>813</v>
      </c>
    </row>
    <row r="288" spans="1:35" x14ac:dyDescent="0.25">
      <c r="A288">
        <v>483</v>
      </c>
      <c r="B288" t="s">
        <v>814</v>
      </c>
      <c r="C288" t="s">
        <v>812</v>
      </c>
      <c r="D288">
        <v>53</v>
      </c>
      <c r="E288">
        <v>2932</v>
      </c>
      <c r="F288">
        <v>30</v>
      </c>
      <c r="G288">
        <v>1709</v>
      </c>
      <c r="H288">
        <v>0</v>
      </c>
      <c r="I288">
        <v>90</v>
      </c>
      <c r="J288">
        <v>0</v>
      </c>
      <c r="K288">
        <v>2558</v>
      </c>
      <c r="L288">
        <v>2508</v>
      </c>
      <c r="M288">
        <v>1</v>
      </c>
      <c r="N288">
        <v>929.8</v>
      </c>
      <c r="O288">
        <v>130.80000000000001</v>
      </c>
      <c r="P288">
        <v>9.3000000000000007</v>
      </c>
      <c r="Q288">
        <v>1.31</v>
      </c>
      <c r="R288" t="s">
        <v>59</v>
      </c>
      <c r="S288" t="s">
        <v>1277</v>
      </c>
      <c r="T288" s="1">
        <v>43397.621562499997</v>
      </c>
      <c r="U288">
        <v>2</v>
      </c>
      <c r="V288" t="s">
        <v>47</v>
      </c>
      <c r="W288">
        <v>4</v>
      </c>
      <c r="X288" t="s">
        <v>114</v>
      </c>
      <c r="Y288">
        <v>35</v>
      </c>
      <c r="Z288">
        <v>133</v>
      </c>
      <c r="AA288" t="s">
        <v>165</v>
      </c>
      <c r="AB288">
        <v>6</v>
      </c>
      <c r="AC288" t="s">
        <v>282</v>
      </c>
      <c r="AD288">
        <v>17.09</v>
      </c>
      <c r="AE288">
        <v>29.32</v>
      </c>
      <c r="AF288">
        <v>25.58</v>
      </c>
      <c r="AG288">
        <v>25.08</v>
      </c>
      <c r="AH288" t="s">
        <v>815</v>
      </c>
    </row>
    <row r="289" spans="1:35" x14ac:dyDescent="0.25">
      <c r="A289">
        <v>484</v>
      </c>
      <c r="B289" t="s">
        <v>816</v>
      </c>
      <c r="C289" t="s">
        <v>287</v>
      </c>
      <c r="D289">
        <v>11</v>
      </c>
      <c r="E289">
        <v>5900</v>
      </c>
      <c r="F289">
        <v>11</v>
      </c>
      <c r="G289">
        <v>4523</v>
      </c>
      <c r="H289">
        <v>0</v>
      </c>
      <c r="I289">
        <v>237</v>
      </c>
      <c r="J289">
        <v>0</v>
      </c>
      <c r="K289">
        <v>0</v>
      </c>
      <c r="L289">
        <v>0</v>
      </c>
      <c r="M289">
        <v>1</v>
      </c>
      <c r="N289">
        <v>787</v>
      </c>
      <c r="O289">
        <v>5310</v>
      </c>
      <c r="P289">
        <v>7.87</v>
      </c>
      <c r="Q289">
        <v>53.1</v>
      </c>
      <c r="R289" t="s">
        <v>37</v>
      </c>
      <c r="S289" t="s">
        <v>1277</v>
      </c>
      <c r="T289" s="1">
        <v>43397.621562499997</v>
      </c>
      <c r="U289">
        <v>5</v>
      </c>
      <c r="V289" t="s">
        <v>140</v>
      </c>
      <c r="W289">
        <v>7</v>
      </c>
      <c r="X289" t="s">
        <v>49</v>
      </c>
      <c r="Y289">
        <v>10</v>
      </c>
      <c r="Z289">
        <v>0</v>
      </c>
      <c r="AA289" t="s">
        <v>50</v>
      </c>
      <c r="AB289">
        <v>0</v>
      </c>
      <c r="AC289" t="s">
        <v>43</v>
      </c>
      <c r="AD289">
        <v>45.23</v>
      </c>
      <c r="AE289">
        <v>59</v>
      </c>
      <c r="AF289">
        <v>0</v>
      </c>
      <c r="AG289">
        <v>0</v>
      </c>
      <c r="AH289" t="s">
        <v>817</v>
      </c>
      <c r="AI289" t="s">
        <v>43</v>
      </c>
    </row>
    <row r="290" spans="1:35" x14ac:dyDescent="0.25">
      <c r="A290">
        <v>485</v>
      </c>
      <c r="B290" t="s">
        <v>818</v>
      </c>
      <c r="C290" t="s">
        <v>819</v>
      </c>
      <c r="D290">
        <v>24</v>
      </c>
      <c r="E290">
        <v>25200</v>
      </c>
      <c r="F290">
        <v>8</v>
      </c>
      <c r="G290">
        <v>20120</v>
      </c>
      <c r="H290">
        <v>0</v>
      </c>
      <c r="I290">
        <v>231</v>
      </c>
      <c r="J290">
        <v>0</v>
      </c>
      <c r="K290">
        <v>0</v>
      </c>
      <c r="L290">
        <v>0</v>
      </c>
      <c r="M290">
        <v>1</v>
      </c>
      <c r="N290">
        <v>2560</v>
      </c>
      <c r="O290">
        <v>22680</v>
      </c>
      <c r="P290" s="2">
        <v>25.6</v>
      </c>
      <c r="Q290">
        <v>226.8</v>
      </c>
      <c r="R290" t="s">
        <v>37</v>
      </c>
      <c r="S290" t="s">
        <v>1277</v>
      </c>
      <c r="T290" s="1">
        <v>43397.621562499997</v>
      </c>
      <c r="U290">
        <v>4</v>
      </c>
      <c r="V290" t="s">
        <v>55</v>
      </c>
      <c r="W290">
        <v>8</v>
      </c>
      <c r="X290" t="s">
        <v>118</v>
      </c>
      <c r="Y290">
        <v>8</v>
      </c>
      <c r="Z290">
        <v>0</v>
      </c>
      <c r="AA290" t="s">
        <v>232</v>
      </c>
      <c r="AB290">
        <v>0</v>
      </c>
      <c r="AC290" t="s">
        <v>43</v>
      </c>
      <c r="AD290">
        <v>201.2</v>
      </c>
      <c r="AE290">
        <v>252</v>
      </c>
      <c r="AF290">
        <v>0</v>
      </c>
      <c r="AG290">
        <v>0</v>
      </c>
      <c r="AH290" t="s">
        <v>820</v>
      </c>
      <c r="AI290" t="s">
        <v>43</v>
      </c>
    </row>
    <row r="291" spans="1:35" x14ac:dyDescent="0.25">
      <c r="A291">
        <v>486</v>
      </c>
      <c r="B291" t="s">
        <v>821</v>
      </c>
      <c r="C291" t="s">
        <v>287</v>
      </c>
      <c r="D291">
        <v>4</v>
      </c>
      <c r="E291">
        <v>6295</v>
      </c>
      <c r="F291">
        <v>13</v>
      </c>
      <c r="G291">
        <v>5116</v>
      </c>
      <c r="H291">
        <v>0</v>
      </c>
      <c r="I291">
        <v>241</v>
      </c>
      <c r="J291">
        <v>0</v>
      </c>
      <c r="K291">
        <v>0</v>
      </c>
      <c r="L291">
        <v>0</v>
      </c>
      <c r="M291">
        <v>1</v>
      </c>
      <c r="N291">
        <v>549.5</v>
      </c>
      <c r="O291">
        <v>5665.5</v>
      </c>
      <c r="P291">
        <v>5.5</v>
      </c>
      <c r="Q291">
        <v>56.66</v>
      </c>
      <c r="R291" t="s">
        <v>37</v>
      </c>
      <c r="S291" t="s">
        <v>1277</v>
      </c>
      <c r="T291" s="1">
        <v>43397.621562499997</v>
      </c>
      <c r="U291">
        <v>5</v>
      </c>
      <c r="V291" t="s">
        <v>140</v>
      </c>
      <c r="W291">
        <v>7</v>
      </c>
      <c r="X291" t="s">
        <v>49</v>
      </c>
      <c r="Y291">
        <v>10</v>
      </c>
      <c r="Z291">
        <v>0</v>
      </c>
      <c r="AA291" t="s">
        <v>50</v>
      </c>
      <c r="AB291">
        <v>0</v>
      </c>
      <c r="AC291" t="s">
        <v>43</v>
      </c>
      <c r="AD291">
        <v>51.16</v>
      </c>
      <c r="AE291">
        <v>62.95</v>
      </c>
      <c r="AF291">
        <v>0</v>
      </c>
      <c r="AG291">
        <v>0</v>
      </c>
      <c r="AH291" t="s">
        <v>822</v>
      </c>
      <c r="AI291" t="s">
        <v>43</v>
      </c>
    </row>
    <row r="292" spans="1:35" x14ac:dyDescent="0.25">
      <c r="A292">
        <v>487</v>
      </c>
      <c r="B292" t="s">
        <v>823</v>
      </c>
      <c r="C292" t="s">
        <v>43</v>
      </c>
      <c r="D292">
        <v>16</v>
      </c>
      <c r="E292">
        <v>25800</v>
      </c>
      <c r="F292">
        <v>16</v>
      </c>
      <c r="G292">
        <v>17501</v>
      </c>
      <c r="H292">
        <v>0</v>
      </c>
      <c r="I292">
        <v>236</v>
      </c>
      <c r="J292">
        <v>0</v>
      </c>
      <c r="K292">
        <v>0</v>
      </c>
      <c r="L292">
        <v>0</v>
      </c>
      <c r="M292">
        <v>1</v>
      </c>
      <c r="N292">
        <v>5719</v>
      </c>
      <c r="O292">
        <v>23220</v>
      </c>
      <c r="P292">
        <v>57.19</v>
      </c>
      <c r="Q292">
        <v>232.2</v>
      </c>
      <c r="R292" t="s">
        <v>37</v>
      </c>
      <c r="S292" t="s">
        <v>1277</v>
      </c>
      <c r="T292" s="1">
        <v>43397.621562499997</v>
      </c>
      <c r="U292">
        <v>2</v>
      </c>
      <c r="V292" t="s">
        <v>47</v>
      </c>
      <c r="W292">
        <v>9</v>
      </c>
      <c r="X292" t="s">
        <v>45</v>
      </c>
      <c r="Y292">
        <v>44</v>
      </c>
      <c r="Z292">
        <v>0</v>
      </c>
      <c r="AA292" t="s">
        <v>718</v>
      </c>
      <c r="AB292">
        <v>0</v>
      </c>
      <c r="AC292" t="s">
        <v>43</v>
      </c>
      <c r="AD292">
        <v>175.01</v>
      </c>
      <c r="AE292">
        <v>258</v>
      </c>
      <c r="AF292">
        <v>0</v>
      </c>
      <c r="AG292">
        <v>0</v>
      </c>
      <c r="AH292" t="s">
        <v>824</v>
      </c>
      <c r="AI292" t="s">
        <v>43</v>
      </c>
    </row>
    <row r="293" spans="1:35" x14ac:dyDescent="0.25">
      <c r="A293">
        <v>488</v>
      </c>
      <c r="B293" t="s">
        <v>825</v>
      </c>
      <c r="C293" t="s">
        <v>826</v>
      </c>
      <c r="D293">
        <v>20</v>
      </c>
      <c r="E293">
        <v>32300</v>
      </c>
      <c r="F293">
        <v>32</v>
      </c>
      <c r="G293">
        <v>28028</v>
      </c>
      <c r="H293">
        <v>0</v>
      </c>
      <c r="I293">
        <v>107</v>
      </c>
      <c r="J293">
        <v>0</v>
      </c>
      <c r="K293">
        <v>29898</v>
      </c>
      <c r="L293">
        <v>27302</v>
      </c>
      <c r="M293">
        <v>1</v>
      </c>
      <c r="N293">
        <v>1042</v>
      </c>
      <c r="O293">
        <v>1768</v>
      </c>
      <c r="P293">
        <v>10.42</v>
      </c>
      <c r="Q293">
        <v>17.68</v>
      </c>
      <c r="R293" t="s">
        <v>37</v>
      </c>
      <c r="S293" t="s">
        <v>1277</v>
      </c>
      <c r="T293" s="1">
        <v>43397.621562499997</v>
      </c>
      <c r="U293">
        <v>3</v>
      </c>
      <c r="V293" t="s">
        <v>38</v>
      </c>
      <c r="W293">
        <v>3</v>
      </c>
      <c r="X293" t="s">
        <v>109</v>
      </c>
      <c r="Y293">
        <v>33</v>
      </c>
      <c r="Z293">
        <v>138</v>
      </c>
      <c r="AA293" t="s">
        <v>198</v>
      </c>
      <c r="AB293">
        <v>6</v>
      </c>
      <c r="AC293" t="s">
        <v>282</v>
      </c>
      <c r="AD293">
        <v>280.27999999999997</v>
      </c>
      <c r="AE293">
        <v>323</v>
      </c>
      <c r="AF293">
        <v>298.98</v>
      </c>
      <c r="AG293">
        <v>273.02</v>
      </c>
      <c r="AH293" t="s">
        <v>827</v>
      </c>
    </row>
    <row r="294" spans="1:35" x14ac:dyDescent="0.25">
      <c r="A294">
        <v>489</v>
      </c>
      <c r="B294" t="s">
        <v>828</v>
      </c>
      <c r="C294" t="s">
        <v>43</v>
      </c>
      <c r="D294">
        <v>22</v>
      </c>
      <c r="E294">
        <v>32795</v>
      </c>
      <c r="F294">
        <v>7</v>
      </c>
      <c r="G294">
        <v>20100</v>
      </c>
      <c r="H294">
        <v>0</v>
      </c>
      <c r="I294">
        <v>322</v>
      </c>
      <c r="J294">
        <v>0</v>
      </c>
      <c r="K294">
        <v>0</v>
      </c>
      <c r="L294">
        <v>0</v>
      </c>
      <c r="M294">
        <v>1</v>
      </c>
      <c r="N294">
        <v>9415.5</v>
      </c>
      <c r="O294">
        <v>29515.5</v>
      </c>
      <c r="P294">
        <v>94.16</v>
      </c>
      <c r="Q294">
        <v>295.16000000000003</v>
      </c>
      <c r="R294" t="s">
        <v>37</v>
      </c>
      <c r="S294" t="s">
        <v>1277</v>
      </c>
      <c r="T294" s="1">
        <v>43397.621562499997</v>
      </c>
      <c r="U294">
        <v>2</v>
      </c>
      <c r="V294" t="s">
        <v>47</v>
      </c>
      <c r="W294">
        <v>9</v>
      </c>
      <c r="X294" t="s">
        <v>45</v>
      </c>
      <c r="Y294">
        <v>44</v>
      </c>
      <c r="Z294">
        <v>0</v>
      </c>
      <c r="AA294" t="s">
        <v>718</v>
      </c>
      <c r="AB294">
        <v>0</v>
      </c>
      <c r="AC294" t="s">
        <v>43</v>
      </c>
      <c r="AD294">
        <v>201</v>
      </c>
      <c r="AE294">
        <v>327.95</v>
      </c>
      <c r="AF294">
        <v>0</v>
      </c>
      <c r="AG294">
        <v>0</v>
      </c>
      <c r="AH294" t="s">
        <v>829</v>
      </c>
      <c r="AI294" t="s">
        <v>43</v>
      </c>
    </row>
    <row r="295" spans="1:35" x14ac:dyDescent="0.25">
      <c r="A295">
        <v>490</v>
      </c>
      <c r="B295" t="s">
        <v>830</v>
      </c>
      <c r="C295" t="s">
        <v>831</v>
      </c>
      <c r="D295">
        <v>51</v>
      </c>
      <c r="E295">
        <v>30298</v>
      </c>
      <c r="F295">
        <v>17</v>
      </c>
      <c r="G295">
        <v>28900</v>
      </c>
      <c r="H295">
        <v>0</v>
      </c>
      <c r="I295">
        <v>53</v>
      </c>
      <c r="J295">
        <v>0</v>
      </c>
      <c r="K295">
        <v>29240</v>
      </c>
      <c r="L295">
        <v>26978</v>
      </c>
      <c r="M295">
        <v>1</v>
      </c>
      <c r="N295">
        <v>-1631.8</v>
      </c>
      <c r="O295">
        <v>290.2</v>
      </c>
      <c r="P295">
        <v>-16.32</v>
      </c>
      <c r="Q295">
        <v>2.9</v>
      </c>
      <c r="R295" t="s">
        <v>37</v>
      </c>
      <c r="S295" t="s">
        <v>1277</v>
      </c>
      <c r="T295" s="1">
        <v>43397.621562499997</v>
      </c>
      <c r="U295">
        <v>3</v>
      </c>
      <c r="V295" t="s">
        <v>38</v>
      </c>
      <c r="W295">
        <v>2</v>
      </c>
      <c r="X295" t="s">
        <v>39</v>
      </c>
      <c r="Y295">
        <v>46</v>
      </c>
      <c r="Z295">
        <v>137</v>
      </c>
      <c r="AA295" t="s">
        <v>803</v>
      </c>
      <c r="AB295">
        <v>6</v>
      </c>
      <c r="AC295" t="s">
        <v>282</v>
      </c>
      <c r="AD295">
        <v>289</v>
      </c>
      <c r="AE295">
        <v>302.98</v>
      </c>
      <c r="AF295">
        <v>292.39999999999998</v>
      </c>
      <c r="AG295">
        <v>269.77999999999997</v>
      </c>
      <c r="AH295" t="s">
        <v>832</v>
      </c>
    </row>
    <row r="296" spans="1:35" x14ac:dyDescent="0.25">
      <c r="A296">
        <v>491</v>
      </c>
      <c r="B296" t="s">
        <v>833</v>
      </c>
      <c r="C296" t="s">
        <v>43</v>
      </c>
      <c r="D296">
        <v>18</v>
      </c>
      <c r="E296">
        <v>11397</v>
      </c>
      <c r="F296">
        <v>8</v>
      </c>
      <c r="G296">
        <v>6706</v>
      </c>
      <c r="H296">
        <v>0</v>
      </c>
      <c r="I296">
        <v>359</v>
      </c>
      <c r="J296">
        <v>0</v>
      </c>
      <c r="K296">
        <v>0</v>
      </c>
      <c r="L296">
        <v>0</v>
      </c>
      <c r="M296">
        <v>1</v>
      </c>
      <c r="N296">
        <v>3551.3</v>
      </c>
      <c r="O296">
        <v>10257.299999999999</v>
      </c>
      <c r="P296">
        <v>35.51</v>
      </c>
      <c r="Q296">
        <v>102.57</v>
      </c>
      <c r="R296" t="s">
        <v>37</v>
      </c>
      <c r="S296" t="s">
        <v>1277</v>
      </c>
      <c r="T296" s="1">
        <v>43397.621562499997</v>
      </c>
      <c r="U296">
        <v>1</v>
      </c>
      <c r="V296" t="s">
        <v>44</v>
      </c>
      <c r="W296">
        <v>9</v>
      </c>
      <c r="X296" t="s">
        <v>45</v>
      </c>
      <c r="Y296">
        <v>44</v>
      </c>
      <c r="Z296">
        <v>0</v>
      </c>
      <c r="AA296" t="s">
        <v>718</v>
      </c>
      <c r="AB296">
        <v>0</v>
      </c>
      <c r="AC296" t="s">
        <v>43</v>
      </c>
      <c r="AD296">
        <v>67.06</v>
      </c>
      <c r="AE296">
        <v>113.97</v>
      </c>
      <c r="AF296">
        <v>0</v>
      </c>
      <c r="AG296">
        <v>0</v>
      </c>
      <c r="AH296" t="s">
        <v>834</v>
      </c>
      <c r="AI296" t="s">
        <v>43</v>
      </c>
    </row>
    <row r="297" spans="1:35" x14ac:dyDescent="0.25">
      <c r="A297">
        <v>492</v>
      </c>
      <c r="B297" t="s">
        <v>835</v>
      </c>
      <c r="C297" t="s">
        <v>43</v>
      </c>
      <c r="D297">
        <v>12</v>
      </c>
      <c r="E297">
        <v>13000</v>
      </c>
      <c r="F297">
        <v>3</v>
      </c>
      <c r="G297">
        <v>6725</v>
      </c>
      <c r="H297">
        <v>0</v>
      </c>
      <c r="I297">
        <v>352</v>
      </c>
      <c r="J297">
        <v>0</v>
      </c>
      <c r="K297">
        <v>0</v>
      </c>
      <c r="L297">
        <v>0</v>
      </c>
      <c r="M297">
        <v>1</v>
      </c>
      <c r="N297">
        <v>4975</v>
      </c>
      <c r="O297">
        <v>11700</v>
      </c>
      <c r="P297">
        <v>49.75</v>
      </c>
      <c r="Q297">
        <v>117</v>
      </c>
      <c r="R297" t="s">
        <v>37</v>
      </c>
      <c r="S297" t="s">
        <v>1277</v>
      </c>
      <c r="T297" s="1">
        <v>43397.621562499997</v>
      </c>
      <c r="U297">
        <v>2</v>
      </c>
      <c r="V297" t="s">
        <v>47</v>
      </c>
      <c r="W297">
        <v>9</v>
      </c>
      <c r="X297" t="s">
        <v>45</v>
      </c>
      <c r="Y297">
        <v>44</v>
      </c>
      <c r="Z297">
        <v>0</v>
      </c>
      <c r="AA297" t="s">
        <v>718</v>
      </c>
      <c r="AB297">
        <v>0</v>
      </c>
      <c r="AC297" t="s">
        <v>43</v>
      </c>
      <c r="AD297">
        <v>67.25</v>
      </c>
      <c r="AE297">
        <v>130</v>
      </c>
      <c r="AF297">
        <v>0</v>
      </c>
      <c r="AG297">
        <v>0</v>
      </c>
      <c r="AH297" t="s">
        <v>836</v>
      </c>
      <c r="AI297" t="s">
        <v>43</v>
      </c>
    </row>
    <row r="298" spans="1:35" x14ac:dyDescent="0.25">
      <c r="A298">
        <v>493</v>
      </c>
      <c r="B298" t="s">
        <v>837</v>
      </c>
      <c r="C298" t="s">
        <v>43</v>
      </c>
      <c r="D298">
        <v>29</v>
      </c>
      <c r="E298">
        <v>2000</v>
      </c>
      <c r="F298">
        <v>10</v>
      </c>
      <c r="G298">
        <v>1720</v>
      </c>
      <c r="H298">
        <v>0</v>
      </c>
      <c r="I298">
        <v>387</v>
      </c>
      <c r="J298">
        <v>0</v>
      </c>
      <c r="K298">
        <v>0</v>
      </c>
      <c r="L298">
        <v>0</v>
      </c>
      <c r="M298">
        <v>1</v>
      </c>
      <c r="N298">
        <v>80</v>
      </c>
      <c r="O298">
        <v>1800</v>
      </c>
      <c r="P298">
        <v>0.8</v>
      </c>
      <c r="Q298">
        <v>18</v>
      </c>
      <c r="R298" t="s">
        <v>37</v>
      </c>
      <c r="S298" t="s">
        <v>1277</v>
      </c>
      <c r="T298" s="1">
        <v>43397.621562499997</v>
      </c>
      <c r="U298">
        <v>1</v>
      </c>
      <c r="V298" t="s">
        <v>44</v>
      </c>
      <c r="W298">
        <v>9</v>
      </c>
      <c r="X298" t="s">
        <v>45</v>
      </c>
      <c r="Y298">
        <v>44</v>
      </c>
      <c r="Z298">
        <v>0</v>
      </c>
      <c r="AA298" t="s">
        <v>718</v>
      </c>
      <c r="AB298">
        <v>0</v>
      </c>
      <c r="AC298" t="s">
        <v>43</v>
      </c>
      <c r="AD298">
        <v>17.2</v>
      </c>
      <c r="AE298">
        <v>20</v>
      </c>
      <c r="AF298">
        <v>0</v>
      </c>
      <c r="AG298">
        <v>0</v>
      </c>
      <c r="AH298" t="s">
        <v>838</v>
      </c>
      <c r="AI298" t="s">
        <v>43</v>
      </c>
    </row>
    <row r="299" spans="1:35" x14ac:dyDescent="0.25">
      <c r="A299">
        <v>494</v>
      </c>
      <c r="B299" t="s">
        <v>839</v>
      </c>
      <c r="C299" t="s">
        <v>43</v>
      </c>
      <c r="D299">
        <v>4</v>
      </c>
      <c r="E299">
        <v>244295</v>
      </c>
      <c r="F299">
        <v>4</v>
      </c>
      <c r="G299">
        <v>146001</v>
      </c>
      <c r="H299">
        <v>0</v>
      </c>
      <c r="I299">
        <v>173</v>
      </c>
      <c r="J299">
        <v>0</v>
      </c>
      <c r="K299">
        <v>0</v>
      </c>
      <c r="L299">
        <v>0</v>
      </c>
      <c r="M299">
        <v>1</v>
      </c>
      <c r="N299">
        <v>73864.5</v>
      </c>
      <c r="O299">
        <v>219865.5</v>
      </c>
      <c r="P299">
        <v>738.65</v>
      </c>
      <c r="Q299">
        <v>2198.66</v>
      </c>
      <c r="R299" t="s">
        <v>37</v>
      </c>
      <c r="S299" t="s">
        <v>1277</v>
      </c>
      <c r="T299" s="1">
        <v>43397.621562499997</v>
      </c>
      <c r="U299">
        <v>3</v>
      </c>
      <c r="V299" t="s">
        <v>38</v>
      </c>
      <c r="W299">
        <v>9</v>
      </c>
      <c r="X299" t="s">
        <v>45</v>
      </c>
      <c r="Y299">
        <v>44</v>
      </c>
      <c r="Z299">
        <v>0</v>
      </c>
      <c r="AA299" t="s">
        <v>718</v>
      </c>
      <c r="AB299">
        <v>0</v>
      </c>
      <c r="AC299" t="s">
        <v>43</v>
      </c>
      <c r="AD299">
        <v>1460.01</v>
      </c>
      <c r="AE299">
        <v>2442.9499999999998</v>
      </c>
      <c r="AF299">
        <v>0</v>
      </c>
      <c r="AG299">
        <v>0</v>
      </c>
      <c r="AH299" t="s">
        <v>840</v>
      </c>
      <c r="AI299" t="s">
        <v>43</v>
      </c>
    </row>
    <row r="300" spans="1:35" x14ac:dyDescent="0.25">
      <c r="A300">
        <v>495</v>
      </c>
      <c r="B300" t="s">
        <v>841</v>
      </c>
      <c r="C300" t="s">
        <v>842</v>
      </c>
      <c r="D300">
        <v>19</v>
      </c>
      <c r="E300">
        <v>2888</v>
      </c>
      <c r="F300">
        <v>9</v>
      </c>
      <c r="G300">
        <v>1515</v>
      </c>
      <c r="H300">
        <v>0</v>
      </c>
      <c r="I300">
        <v>396</v>
      </c>
      <c r="J300">
        <v>0</v>
      </c>
      <c r="K300">
        <v>0</v>
      </c>
      <c r="L300">
        <v>0</v>
      </c>
      <c r="M300">
        <v>1</v>
      </c>
      <c r="N300">
        <v>1084.2</v>
      </c>
      <c r="O300">
        <v>2599.1999999999998</v>
      </c>
      <c r="P300">
        <v>10.84</v>
      </c>
      <c r="Q300">
        <v>25.99</v>
      </c>
      <c r="R300" t="s">
        <v>37</v>
      </c>
      <c r="S300" t="s">
        <v>1277</v>
      </c>
      <c r="T300" s="1">
        <v>43397.621562499997</v>
      </c>
      <c r="U300">
        <v>1</v>
      </c>
      <c r="V300" t="s">
        <v>44</v>
      </c>
      <c r="W300">
        <v>9</v>
      </c>
      <c r="X300" t="s">
        <v>45</v>
      </c>
      <c r="Y300">
        <v>44</v>
      </c>
      <c r="Z300">
        <v>0</v>
      </c>
      <c r="AA300" t="s">
        <v>718</v>
      </c>
      <c r="AB300">
        <v>0</v>
      </c>
      <c r="AC300" t="s">
        <v>43</v>
      </c>
      <c r="AD300">
        <v>15.15</v>
      </c>
      <c r="AE300">
        <v>28.88</v>
      </c>
      <c r="AF300">
        <v>0</v>
      </c>
      <c r="AG300">
        <v>0</v>
      </c>
      <c r="AH300" t="s">
        <v>843</v>
      </c>
      <c r="AI300" t="s">
        <v>43</v>
      </c>
    </row>
    <row r="301" spans="1:35" x14ac:dyDescent="0.25">
      <c r="A301">
        <v>496</v>
      </c>
      <c r="B301" t="s">
        <v>844</v>
      </c>
      <c r="C301" t="s">
        <v>845</v>
      </c>
      <c r="D301">
        <v>15</v>
      </c>
      <c r="E301">
        <v>227300</v>
      </c>
      <c r="F301">
        <v>8</v>
      </c>
      <c r="G301">
        <v>215000</v>
      </c>
      <c r="H301">
        <v>0</v>
      </c>
      <c r="I301">
        <v>70</v>
      </c>
      <c r="J301">
        <v>0</v>
      </c>
      <c r="K301">
        <v>202705</v>
      </c>
      <c r="L301">
        <v>187047</v>
      </c>
      <c r="M301">
        <v>1</v>
      </c>
      <c r="N301">
        <v>-10430</v>
      </c>
      <c r="O301">
        <v>17523</v>
      </c>
      <c r="P301">
        <v>-104.3</v>
      </c>
      <c r="Q301">
        <v>175.23</v>
      </c>
      <c r="R301" t="s">
        <v>37</v>
      </c>
      <c r="S301" t="s">
        <v>1277</v>
      </c>
      <c r="T301" s="1">
        <v>43397.621562499997</v>
      </c>
      <c r="U301">
        <v>4</v>
      </c>
      <c r="V301" t="s">
        <v>55</v>
      </c>
      <c r="W301">
        <v>3</v>
      </c>
      <c r="X301" t="s">
        <v>109</v>
      </c>
      <c r="Y301">
        <v>51</v>
      </c>
      <c r="Z301">
        <v>130</v>
      </c>
      <c r="AA301" t="s">
        <v>846</v>
      </c>
      <c r="AB301">
        <v>6</v>
      </c>
      <c r="AC301" t="s">
        <v>282</v>
      </c>
      <c r="AD301">
        <v>2150</v>
      </c>
      <c r="AE301">
        <v>2273</v>
      </c>
      <c r="AF301">
        <v>2027.05</v>
      </c>
      <c r="AG301">
        <v>1870.47</v>
      </c>
      <c r="AH301" t="s">
        <v>847</v>
      </c>
    </row>
    <row r="302" spans="1:35" x14ac:dyDescent="0.25">
      <c r="A302">
        <v>497</v>
      </c>
      <c r="B302" t="s">
        <v>848</v>
      </c>
      <c r="C302" t="s">
        <v>849</v>
      </c>
      <c r="D302">
        <v>144</v>
      </c>
      <c r="E302">
        <v>30899</v>
      </c>
      <c r="F302">
        <v>119</v>
      </c>
      <c r="G302">
        <v>30086</v>
      </c>
      <c r="H302">
        <v>0</v>
      </c>
      <c r="I302">
        <v>11</v>
      </c>
      <c r="J302">
        <v>0</v>
      </c>
      <c r="K302">
        <v>30114</v>
      </c>
      <c r="L302">
        <v>25866</v>
      </c>
      <c r="M302">
        <v>1</v>
      </c>
      <c r="N302">
        <v>-2276.9</v>
      </c>
      <c r="O302">
        <v>1943.1</v>
      </c>
      <c r="P302">
        <v>-22.77</v>
      </c>
      <c r="Q302">
        <v>19.43</v>
      </c>
      <c r="R302" t="s">
        <v>37</v>
      </c>
      <c r="S302" t="s">
        <v>1277</v>
      </c>
      <c r="T302" s="1">
        <v>43397.621562499997</v>
      </c>
      <c r="U302">
        <v>3</v>
      </c>
      <c r="V302" t="s">
        <v>38</v>
      </c>
      <c r="W302">
        <v>4</v>
      </c>
      <c r="X302" t="s">
        <v>114</v>
      </c>
      <c r="Y302">
        <v>47</v>
      </c>
      <c r="Z302">
        <v>139</v>
      </c>
      <c r="AA302" t="s">
        <v>807</v>
      </c>
      <c r="AB302">
        <v>6</v>
      </c>
      <c r="AC302" t="s">
        <v>282</v>
      </c>
      <c r="AD302">
        <v>300.86</v>
      </c>
      <c r="AE302">
        <v>308.99</v>
      </c>
      <c r="AF302">
        <v>301.14</v>
      </c>
      <c r="AG302">
        <v>258.66000000000003</v>
      </c>
      <c r="AH302" t="s">
        <v>850</v>
      </c>
    </row>
    <row r="303" spans="1:35" x14ac:dyDescent="0.25">
      <c r="A303">
        <v>498</v>
      </c>
      <c r="B303" t="s">
        <v>851</v>
      </c>
      <c r="C303" t="s">
        <v>852</v>
      </c>
      <c r="D303">
        <v>42</v>
      </c>
      <c r="E303">
        <v>32999</v>
      </c>
      <c r="F303">
        <v>16</v>
      </c>
      <c r="G303">
        <v>29703</v>
      </c>
      <c r="H303">
        <v>0</v>
      </c>
      <c r="I303">
        <v>62</v>
      </c>
      <c r="J303">
        <v>0</v>
      </c>
      <c r="K303">
        <v>30252</v>
      </c>
      <c r="L303">
        <v>27924</v>
      </c>
      <c r="M303">
        <v>1</v>
      </c>
      <c r="N303">
        <v>-3.9</v>
      </c>
      <c r="O303">
        <v>1775.1</v>
      </c>
      <c r="P303">
        <v>-0.04</v>
      </c>
      <c r="Q303">
        <v>17.75</v>
      </c>
      <c r="R303" t="s">
        <v>37</v>
      </c>
      <c r="S303" t="s">
        <v>1277</v>
      </c>
      <c r="T303" s="1">
        <v>43397.621562499997</v>
      </c>
      <c r="U303">
        <v>3</v>
      </c>
      <c r="V303" t="s">
        <v>38</v>
      </c>
      <c r="W303">
        <v>2</v>
      </c>
      <c r="X303" t="s">
        <v>39</v>
      </c>
      <c r="Y303">
        <v>49</v>
      </c>
      <c r="Z303">
        <v>140</v>
      </c>
      <c r="AA303" t="s">
        <v>853</v>
      </c>
      <c r="AB303">
        <v>6</v>
      </c>
      <c r="AC303" t="s">
        <v>282</v>
      </c>
      <c r="AD303">
        <v>297.02999999999997</v>
      </c>
      <c r="AE303">
        <v>329.99</v>
      </c>
      <c r="AF303">
        <v>302.52</v>
      </c>
      <c r="AG303">
        <v>279.24</v>
      </c>
      <c r="AH303" t="s">
        <v>854</v>
      </c>
    </row>
    <row r="304" spans="1:35" x14ac:dyDescent="0.25">
      <c r="A304">
        <v>499</v>
      </c>
      <c r="B304" t="s">
        <v>855</v>
      </c>
      <c r="C304" t="s">
        <v>43</v>
      </c>
      <c r="D304">
        <v>25</v>
      </c>
      <c r="E304">
        <v>8775</v>
      </c>
      <c r="F304">
        <v>16</v>
      </c>
      <c r="G304">
        <v>6000</v>
      </c>
      <c r="H304">
        <v>0</v>
      </c>
      <c r="I304">
        <v>335</v>
      </c>
      <c r="J304">
        <v>0</v>
      </c>
      <c r="K304">
        <v>0</v>
      </c>
      <c r="L304">
        <v>0</v>
      </c>
      <c r="M304">
        <v>1</v>
      </c>
      <c r="N304">
        <v>1897.5</v>
      </c>
      <c r="O304">
        <v>7897.5</v>
      </c>
      <c r="P304">
        <v>18.98</v>
      </c>
      <c r="Q304">
        <v>78.98</v>
      </c>
      <c r="R304" t="s">
        <v>37</v>
      </c>
      <c r="S304" t="s">
        <v>1277</v>
      </c>
      <c r="T304" s="1">
        <v>43397.621562499997</v>
      </c>
      <c r="U304">
        <v>1</v>
      </c>
      <c r="V304" t="s">
        <v>44</v>
      </c>
      <c r="W304">
        <v>9</v>
      </c>
      <c r="X304" t="s">
        <v>45</v>
      </c>
      <c r="Y304">
        <v>44</v>
      </c>
      <c r="Z304">
        <v>0</v>
      </c>
      <c r="AA304" t="s">
        <v>718</v>
      </c>
      <c r="AB304">
        <v>0</v>
      </c>
      <c r="AC304" t="s">
        <v>43</v>
      </c>
      <c r="AD304">
        <v>60</v>
      </c>
      <c r="AE304">
        <v>87.75</v>
      </c>
      <c r="AF304">
        <v>0</v>
      </c>
      <c r="AG304">
        <v>0</v>
      </c>
      <c r="AH304" t="s">
        <v>856</v>
      </c>
      <c r="AI304" t="s">
        <v>43</v>
      </c>
    </row>
    <row r="305" spans="1:35" x14ac:dyDescent="0.25">
      <c r="A305">
        <v>500</v>
      </c>
      <c r="B305" t="s">
        <v>857</v>
      </c>
      <c r="C305" t="s">
        <v>43</v>
      </c>
      <c r="D305">
        <v>3</v>
      </c>
      <c r="E305">
        <v>4998</v>
      </c>
      <c r="F305">
        <v>4</v>
      </c>
      <c r="G305">
        <v>3001</v>
      </c>
      <c r="H305">
        <v>0</v>
      </c>
      <c r="I305">
        <v>328</v>
      </c>
      <c r="J305">
        <v>0</v>
      </c>
      <c r="K305">
        <v>0</v>
      </c>
      <c r="L305">
        <v>0</v>
      </c>
      <c r="M305">
        <v>1</v>
      </c>
      <c r="N305">
        <v>1497.2</v>
      </c>
      <c r="O305">
        <v>4498.2</v>
      </c>
      <c r="P305">
        <v>14.97</v>
      </c>
      <c r="Q305">
        <v>44.98</v>
      </c>
      <c r="R305" t="s">
        <v>37</v>
      </c>
      <c r="S305" t="s">
        <v>1277</v>
      </c>
      <c r="T305" s="1">
        <v>43397.621562499997</v>
      </c>
      <c r="U305">
        <v>2</v>
      </c>
      <c r="V305" t="s">
        <v>47</v>
      </c>
      <c r="W305">
        <v>9</v>
      </c>
      <c r="X305" t="s">
        <v>45</v>
      </c>
      <c r="Y305">
        <v>44</v>
      </c>
      <c r="Z305">
        <v>0</v>
      </c>
      <c r="AA305" t="s">
        <v>718</v>
      </c>
      <c r="AB305">
        <v>0</v>
      </c>
      <c r="AC305" t="s">
        <v>43</v>
      </c>
      <c r="AD305">
        <v>30.01</v>
      </c>
      <c r="AE305">
        <v>49.98</v>
      </c>
      <c r="AF305">
        <v>0</v>
      </c>
      <c r="AG305">
        <v>0</v>
      </c>
      <c r="AH305" t="s">
        <v>858</v>
      </c>
      <c r="AI305" t="s">
        <v>43</v>
      </c>
    </row>
    <row r="306" spans="1:35" x14ac:dyDescent="0.25">
      <c r="A306">
        <v>502</v>
      </c>
      <c r="B306" t="s">
        <v>859</v>
      </c>
      <c r="C306" t="s">
        <v>43</v>
      </c>
      <c r="D306">
        <v>0</v>
      </c>
      <c r="E306">
        <v>0</v>
      </c>
      <c r="F306">
        <v>52</v>
      </c>
      <c r="G306">
        <v>470000</v>
      </c>
      <c r="H306">
        <v>0</v>
      </c>
      <c r="I306">
        <v>427</v>
      </c>
      <c r="J306">
        <v>0</v>
      </c>
      <c r="K306">
        <v>0</v>
      </c>
      <c r="L306">
        <v>0</v>
      </c>
      <c r="M306">
        <v>1</v>
      </c>
      <c r="N306">
        <v>-470000</v>
      </c>
      <c r="O306">
        <v>0</v>
      </c>
      <c r="P306">
        <v>-4700</v>
      </c>
      <c r="Q306">
        <v>0</v>
      </c>
      <c r="R306" t="s">
        <v>37</v>
      </c>
      <c r="S306" t="s">
        <v>1277</v>
      </c>
      <c r="T306" s="1">
        <v>43397.621562499997</v>
      </c>
      <c r="U306">
        <v>5</v>
      </c>
      <c r="V306" t="s">
        <v>140</v>
      </c>
      <c r="W306">
        <v>9</v>
      </c>
      <c r="X306" t="s">
        <v>45</v>
      </c>
      <c r="Y306">
        <v>44</v>
      </c>
      <c r="Z306">
        <v>0</v>
      </c>
      <c r="AA306" t="s">
        <v>718</v>
      </c>
      <c r="AB306">
        <v>0</v>
      </c>
      <c r="AC306" t="s">
        <v>43</v>
      </c>
      <c r="AD306">
        <v>4700</v>
      </c>
      <c r="AE306">
        <v>0</v>
      </c>
      <c r="AF306">
        <v>0</v>
      </c>
      <c r="AG306">
        <v>0</v>
      </c>
      <c r="AH306" t="s">
        <v>860</v>
      </c>
      <c r="AI306" t="s">
        <v>43</v>
      </c>
    </row>
    <row r="307" spans="1:35" x14ac:dyDescent="0.25">
      <c r="A307">
        <v>503</v>
      </c>
      <c r="B307" t="s">
        <v>861</v>
      </c>
      <c r="C307" t="s">
        <v>43</v>
      </c>
      <c r="D307">
        <v>13</v>
      </c>
      <c r="E307">
        <v>30000</v>
      </c>
      <c r="F307">
        <v>5</v>
      </c>
      <c r="G307">
        <v>20302</v>
      </c>
      <c r="H307">
        <v>0</v>
      </c>
      <c r="I307">
        <v>320</v>
      </c>
      <c r="J307">
        <v>0</v>
      </c>
      <c r="K307">
        <v>0</v>
      </c>
      <c r="L307">
        <v>0</v>
      </c>
      <c r="M307">
        <v>1</v>
      </c>
      <c r="N307">
        <v>6698</v>
      </c>
      <c r="O307">
        <v>27000</v>
      </c>
      <c r="P307">
        <v>66.98</v>
      </c>
      <c r="Q307">
        <v>270</v>
      </c>
      <c r="R307" t="s">
        <v>37</v>
      </c>
      <c r="S307" t="s">
        <v>1277</v>
      </c>
      <c r="T307" s="1">
        <v>43397.621562499997</v>
      </c>
      <c r="U307">
        <v>2</v>
      </c>
      <c r="V307" t="s">
        <v>47</v>
      </c>
      <c r="W307">
        <v>9</v>
      </c>
      <c r="X307" t="s">
        <v>45</v>
      </c>
      <c r="Y307">
        <v>44</v>
      </c>
      <c r="Z307">
        <v>0</v>
      </c>
      <c r="AA307" t="s">
        <v>718</v>
      </c>
      <c r="AB307">
        <v>0</v>
      </c>
      <c r="AC307" t="s">
        <v>43</v>
      </c>
      <c r="AD307">
        <v>203.02</v>
      </c>
      <c r="AE307">
        <v>300</v>
      </c>
      <c r="AF307">
        <v>0</v>
      </c>
      <c r="AG307">
        <v>0</v>
      </c>
      <c r="AH307" t="s">
        <v>862</v>
      </c>
      <c r="AI307" t="s">
        <v>43</v>
      </c>
    </row>
    <row r="308" spans="1:35" x14ac:dyDescent="0.25">
      <c r="A308">
        <v>504</v>
      </c>
      <c r="B308" t="s">
        <v>863</v>
      </c>
      <c r="C308" t="s">
        <v>43</v>
      </c>
      <c r="D308">
        <v>19</v>
      </c>
      <c r="E308">
        <v>12000</v>
      </c>
      <c r="F308">
        <v>7</v>
      </c>
      <c r="G308">
        <v>6406</v>
      </c>
      <c r="H308">
        <v>0</v>
      </c>
      <c r="I308">
        <v>271</v>
      </c>
      <c r="J308">
        <v>0</v>
      </c>
      <c r="K308">
        <v>0</v>
      </c>
      <c r="L308">
        <v>0</v>
      </c>
      <c r="M308">
        <v>1</v>
      </c>
      <c r="N308">
        <v>4394</v>
      </c>
      <c r="O308">
        <v>10800</v>
      </c>
      <c r="P308">
        <v>43.94</v>
      </c>
      <c r="Q308">
        <v>108</v>
      </c>
      <c r="R308" t="s">
        <v>37</v>
      </c>
      <c r="S308" t="s">
        <v>1277</v>
      </c>
      <c r="T308" s="1">
        <v>43397.621562499997</v>
      </c>
      <c r="U308">
        <v>2</v>
      </c>
      <c r="V308" t="s">
        <v>47</v>
      </c>
      <c r="W308">
        <v>9</v>
      </c>
      <c r="X308" t="s">
        <v>45</v>
      </c>
      <c r="Y308">
        <v>44</v>
      </c>
      <c r="Z308">
        <v>0</v>
      </c>
      <c r="AA308" t="s">
        <v>718</v>
      </c>
      <c r="AB308">
        <v>0</v>
      </c>
      <c r="AC308" t="s">
        <v>43</v>
      </c>
      <c r="AD308">
        <v>64.06</v>
      </c>
      <c r="AE308">
        <v>120</v>
      </c>
      <c r="AF308">
        <v>0</v>
      </c>
      <c r="AG308">
        <v>0</v>
      </c>
      <c r="AH308" t="s">
        <v>864</v>
      </c>
      <c r="AI308" t="s">
        <v>43</v>
      </c>
    </row>
    <row r="309" spans="1:35" x14ac:dyDescent="0.25">
      <c r="A309">
        <v>505</v>
      </c>
      <c r="B309" t="s">
        <v>865</v>
      </c>
      <c r="C309" t="s">
        <v>866</v>
      </c>
      <c r="D309">
        <v>45</v>
      </c>
      <c r="E309">
        <v>32997</v>
      </c>
      <c r="F309">
        <v>16</v>
      </c>
      <c r="G309">
        <v>31100</v>
      </c>
      <c r="H309">
        <v>0</v>
      </c>
      <c r="I309">
        <v>14</v>
      </c>
      <c r="J309">
        <v>0</v>
      </c>
      <c r="K309">
        <v>32122</v>
      </c>
      <c r="L309">
        <v>29386</v>
      </c>
      <c r="M309">
        <v>1</v>
      </c>
      <c r="N309">
        <v>-1402.7</v>
      </c>
      <c r="O309">
        <v>311.3</v>
      </c>
      <c r="P309">
        <v>-14.03</v>
      </c>
      <c r="Q309">
        <v>3.11</v>
      </c>
      <c r="R309" t="s">
        <v>37</v>
      </c>
      <c r="S309" t="s">
        <v>1277</v>
      </c>
      <c r="T309" s="1">
        <v>43397.621562499997</v>
      </c>
      <c r="U309">
        <v>3</v>
      </c>
      <c r="V309" t="s">
        <v>38</v>
      </c>
      <c r="W309">
        <v>1</v>
      </c>
      <c r="X309" t="s">
        <v>101</v>
      </c>
      <c r="Y309">
        <v>5</v>
      </c>
      <c r="Z309">
        <v>142</v>
      </c>
      <c r="AA309" t="s">
        <v>182</v>
      </c>
      <c r="AB309">
        <v>6</v>
      </c>
      <c r="AC309" t="s">
        <v>282</v>
      </c>
      <c r="AD309">
        <v>311</v>
      </c>
      <c r="AE309">
        <v>329.97</v>
      </c>
      <c r="AF309">
        <v>321.22000000000003</v>
      </c>
      <c r="AG309">
        <v>293.86</v>
      </c>
      <c r="AH309" t="s">
        <v>867</v>
      </c>
    </row>
    <row r="310" spans="1:35" x14ac:dyDescent="0.25">
      <c r="A310">
        <v>506</v>
      </c>
      <c r="B310" t="s">
        <v>868</v>
      </c>
      <c r="C310" t="s">
        <v>869</v>
      </c>
      <c r="D310">
        <v>10</v>
      </c>
      <c r="E310">
        <v>3584</v>
      </c>
      <c r="F310">
        <v>15</v>
      </c>
      <c r="G310">
        <v>3003</v>
      </c>
      <c r="H310">
        <v>0</v>
      </c>
      <c r="I310">
        <v>113</v>
      </c>
      <c r="J310">
        <v>0</v>
      </c>
      <c r="K310">
        <v>3346</v>
      </c>
      <c r="L310">
        <v>3184</v>
      </c>
      <c r="M310">
        <v>1</v>
      </c>
      <c r="N310">
        <v>222.6</v>
      </c>
      <c r="O310">
        <v>41.6</v>
      </c>
      <c r="P310">
        <v>2.23</v>
      </c>
      <c r="Q310">
        <v>0.42</v>
      </c>
      <c r="R310" t="s">
        <v>59</v>
      </c>
      <c r="S310" t="s">
        <v>1277</v>
      </c>
      <c r="T310" s="1">
        <v>43397.621562499997</v>
      </c>
      <c r="U310">
        <v>2</v>
      </c>
      <c r="V310" t="s">
        <v>47</v>
      </c>
      <c r="W310">
        <v>1</v>
      </c>
      <c r="X310" t="s">
        <v>101</v>
      </c>
      <c r="Y310">
        <v>5</v>
      </c>
      <c r="Z310">
        <v>132</v>
      </c>
      <c r="AA310" t="s">
        <v>182</v>
      </c>
      <c r="AB310">
        <v>6</v>
      </c>
      <c r="AC310" t="s">
        <v>282</v>
      </c>
      <c r="AD310">
        <v>30.03</v>
      </c>
      <c r="AE310">
        <v>35.840000000000003</v>
      </c>
      <c r="AF310">
        <v>33.46</v>
      </c>
      <c r="AG310">
        <v>31.84</v>
      </c>
      <c r="AH310" t="s">
        <v>870</v>
      </c>
    </row>
    <row r="311" spans="1:35" x14ac:dyDescent="0.25">
      <c r="A311">
        <v>507</v>
      </c>
      <c r="B311" t="s">
        <v>871</v>
      </c>
      <c r="C311" t="s">
        <v>43</v>
      </c>
      <c r="D311">
        <v>20</v>
      </c>
      <c r="E311">
        <v>29695</v>
      </c>
      <c r="F311">
        <v>13</v>
      </c>
      <c r="G311">
        <v>18501</v>
      </c>
      <c r="H311">
        <v>0</v>
      </c>
      <c r="I311">
        <v>278</v>
      </c>
      <c r="J311">
        <v>0</v>
      </c>
      <c r="K311">
        <v>0</v>
      </c>
      <c r="L311">
        <v>0</v>
      </c>
      <c r="M311">
        <v>1</v>
      </c>
      <c r="N311">
        <v>8224.5</v>
      </c>
      <c r="O311">
        <v>26725.5</v>
      </c>
      <c r="P311">
        <v>82.25</v>
      </c>
      <c r="Q311">
        <v>267.26</v>
      </c>
      <c r="R311" t="s">
        <v>37</v>
      </c>
      <c r="S311" t="s">
        <v>1277</v>
      </c>
      <c r="T311" s="1">
        <v>43397.621562499997</v>
      </c>
      <c r="U311">
        <v>2</v>
      </c>
      <c r="V311" t="s">
        <v>47</v>
      </c>
      <c r="W311">
        <v>9</v>
      </c>
      <c r="X311" t="s">
        <v>45</v>
      </c>
      <c r="Y311">
        <v>44</v>
      </c>
      <c r="Z311">
        <v>0</v>
      </c>
      <c r="AA311" t="s">
        <v>718</v>
      </c>
      <c r="AB311">
        <v>0</v>
      </c>
      <c r="AC311" t="s">
        <v>43</v>
      </c>
      <c r="AD311">
        <v>185.01</v>
      </c>
      <c r="AE311">
        <v>296.95</v>
      </c>
      <c r="AF311">
        <v>0</v>
      </c>
      <c r="AG311">
        <v>0</v>
      </c>
      <c r="AH311" t="s">
        <v>872</v>
      </c>
      <c r="AI311" t="s">
        <v>43</v>
      </c>
    </row>
    <row r="312" spans="1:35" x14ac:dyDescent="0.25">
      <c r="A312">
        <v>508</v>
      </c>
      <c r="B312" t="s">
        <v>873</v>
      </c>
      <c r="C312" t="s">
        <v>874</v>
      </c>
      <c r="D312">
        <v>36</v>
      </c>
      <c r="E312">
        <v>32738</v>
      </c>
      <c r="F312">
        <v>23</v>
      </c>
      <c r="G312">
        <v>28295</v>
      </c>
      <c r="H312">
        <v>0</v>
      </c>
      <c r="I312">
        <v>172</v>
      </c>
      <c r="J312">
        <v>0</v>
      </c>
      <c r="K312">
        <v>31298</v>
      </c>
      <c r="L312">
        <v>26910</v>
      </c>
      <c r="M312">
        <v>1</v>
      </c>
      <c r="N312">
        <v>1169.2</v>
      </c>
      <c r="O312">
        <v>2554.1999999999998</v>
      </c>
      <c r="P312">
        <v>11.69</v>
      </c>
      <c r="Q312">
        <v>25.54</v>
      </c>
      <c r="R312" t="s">
        <v>37</v>
      </c>
      <c r="S312" t="s">
        <v>1277</v>
      </c>
      <c r="T312" s="1">
        <v>43397.621562499997</v>
      </c>
      <c r="U312">
        <v>3</v>
      </c>
      <c r="V312" t="s">
        <v>38</v>
      </c>
      <c r="W312">
        <v>3</v>
      </c>
      <c r="X312" t="s">
        <v>109</v>
      </c>
      <c r="Y312">
        <v>30</v>
      </c>
      <c r="Z312">
        <v>141</v>
      </c>
      <c r="AA312" t="s">
        <v>331</v>
      </c>
      <c r="AB312">
        <v>6</v>
      </c>
      <c r="AC312" t="s">
        <v>282</v>
      </c>
      <c r="AD312">
        <v>282.95</v>
      </c>
      <c r="AE312">
        <v>327.38</v>
      </c>
      <c r="AF312">
        <v>312.98</v>
      </c>
      <c r="AG312">
        <v>269.10000000000002</v>
      </c>
      <c r="AH312" t="s">
        <v>875</v>
      </c>
    </row>
    <row r="313" spans="1:35" x14ac:dyDescent="0.25">
      <c r="A313">
        <v>509</v>
      </c>
      <c r="B313" t="s">
        <v>876</v>
      </c>
      <c r="C313" t="s">
        <v>877</v>
      </c>
      <c r="D313">
        <v>17</v>
      </c>
      <c r="E313">
        <v>226998</v>
      </c>
      <c r="F313">
        <v>12</v>
      </c>
      <c r="G313">
        <v>210011</v>
      </c>
      <c r="H313">
        <v>0</v>
      </c>
      <c r="I313">
        <v>59</v>
      </c>
      <c r="J313">
        <v>0</v>
      </c>
      <c r="K313">
        <v>203823</v>
      </c>
      <c r="L313">
        <v>194555</v>
      </c>
      <c r="M313">
        <v>1</v>
      </c>
      <c r="N313">
        <v>-5712.8</v>
      </c>
      <c r="O313">
        <v>9743.2000000000007</v>
      </c>
      <c r="P313">
        <v>-57.13</v>
      </c>
      <c r="Q313">
        <v>97.43</v>
      </c>
      <c r="R313" t="s">
        <v>37</v>
      </c>
      <c r="S313" t="s">
        <v>1277</v>
      </c>
      <c r="T313" s="1">
        <v>43397.621562499997</v>
      </c>
      <c r="U313">
        <v>4</v>
      </c>
      <c r="V313" t="s">
        <v>55</v>
      </c>
      <c r="W313">
        <v>2</v>
      </c>
      <c r="X313" t="s">
        <v>39</v>
      </c>
      <c r="Y313">
        <v>50</v>
      </c>
      <c r="Z313">
        <v>131</v>
      </c>
      <c r="AA313" t="s">
        <v>878</v>
      </c>
      <c r="AB313">
        <v>6</v>
      </c>
      <c r="AC313" t="s">
        <v>282</v>
      </c>
      <c r="AD313">
        <v>2100.11</v>
      </c>
      <c r="AE313">
        <v>2269.98</v>
      </c>
      <c r="AF313">
        <v>2038.23</v>
      </c>
      <c r="AG313">
        <v>1945.55</v>
      </c>
      <c r="AH313" t="s">
        <v>879</v>
      </c>
    </row>
    <row r="314" spans="1:35" x14ac:dyDescent="0.25">
      <c r="A314">
        <v>510</v>
      </c>
      <c r="B314" t="s">
        <v>880</v>
      </c>
      <c r="C314" t="s">
        <v>881</v>
      </c>
      <c r="D314">
        <v>58</v>
      </c>
      <c r="E314">
        <v>3334</v>
      </c>
      <c r="F314">
        <v>16</v>
      </c>
      <c r="G314">
        <v>3001</v>
      </c>
      <c r="H314">
        <v>0</v>
      </c>
      <c r="I314">
        <v>151</v>
      </c>
      <c r="J314">
        <v>0</v>
      </c>
      <c r="K314">
        <v>2833</v>
      </c>
      <c r="L314">
        <v>2749</v>
      </c>
      <c r="M314">
        <v>1</v>
      </c>
      <c r="N314">
        <v>-0.4</v>
      </c>
      <c r="O314">
        <v>251.6</v>
      </c>
      <c r="P314">
        <v>0</v>
      </c>
      <c r="Q314">
        <v>2.52</v>
      </c>
      <c r="R314" t="s">
        <v>37</v>
      </c>
      <c r="S314" t="s">
        <v>1277</v>
      </c>
      <c r="T314" s="1">
        <v>43397.621562499997</v>
      </c>
      <c r="U314">
        <v>2</v>
      </c>
      <c r="V314" t="s">
        <v>47</v>
      </c>
      <c r="W314">
        <v>3</v>
      </c>
      <c r="X314" t="s">
        <v>109</v>
      </c>
      <c r="Y314">
        <v>48</v>
      </c>
      <c r="Z314">
        <v>136</v>
      </c>
      <c r="AA314" t="s">
        <v>882</v>
      </c>
      <c r="AB314">
        <v>6</v>
      </c>
      <c r="AC314" t="s">
        <v>282</v>
      </c>
      <c r="AD314">
        <v>30.01</v>
      </c>
      <c r="AE314">
        <v>33.340000000000003</v>
      </c>
      <c r="AF314">
        <v>28.33</v>
      </c>
      <c r="AG314">
        <v>27.49</v>
      </c>
      <c r="AH314" t="s">
        <v>883</v>
      </c>
    </row>
    <row r="315" spans="1:35" x14ac:dyDescent="0.25">
      <c r="A315">
        <v>511</v>
      </c>
      <c r="B315" t="s">
        <v>884</v>
      </c>
      <c r="C315" t="s">
        <v>885</v>
      </c>
      <c r="D315">
        <v>15</v>
      </c>
      <c r="E315">
        <v>2587</v>
      </c>
      <c r="F315">
        <v>19</v>
      </c>
      <c r="G315">
        <v>1066</v>
      </c>
      <c r="H315">
        <v>0</v>
      </c>
      <c r="I315">
        <v>345</v>
      </c>
      <c r="J315">
        <v>0</v>
      </c>
      <c r="K315">
        <v>0</v>
      </c>
      <c r="L315">
        <v>0</v>
      </c>
      <c r="M315">
        <v>1</v>
      </c>
      <c r="N315">
        <v>1262.3</v>
      </c>
      <c r="O315">
        <v>2328.3000000000002</v>
      </c>
      <c r="P315">
        <v>12.62</v>
      </c>
      <c r="Q315">
        <v>23.28</v>
      </c>
      <c r="R315" t="s">
        <v>37</v>
      </c>
      <c r="S315" t="s">
        <v>1277</v>
      </c>
      <c r="T315" s="1">
        <v>43397.621562499997</v>
      </c>
      <c r="U315">
        <v>1</v>
      </c>
      <c r="V315" t="s">
        <v>44</v>
      </c>
      <c r="W315">
        <v>9</v>
      </c>
      <c r="X315" t="s">
        <v>45</v>
      </c>
      <c r="Y315">
        <v>44</v>
      </c>
      <c r="Z315">
        <v>0</v>
      </c>
      <c r="AA315" t="s">
        <v>718</v>
      </c>
      <c r="AB315">
        <v>0</v>
      </c>
      <c r="AC315" t="s">
        <v>43</v>
      </c>
      <c r="AD315">
        <v>10.66</v>
      </c>
      <c r="AE315">
        <v>25.87</v>
      </c>
      <c r="AF315">
        <v>0</v>
      </c>
      <c r="AG315">
        <v>0</v>
      </c>
      <c r="AH315" t="s">
        <v>886</v>
      </c>
      <c r="AI315" t="s">
        <v>43</v>
      </c>
    </row>
    <row r="316" spans="1:35" x14ac:dyDescent="0.25">
      <c r="A316">
        <v>512</v>
      </c>
      <c r="B316" t="s">
        <v>887</v>
      </c>
      <c r="C316" t="s">
        <v>43</v>
      </c>
      <c r="D316">
        <v>28</v>
      </c>
      <c r="E316">
        <v>2334</v>
      </c>
      <c r="F316">
        <v>2</v>
      </c>
      <c r="G316">
        <v>1501</v>
      </c>
      <c r="H316">
        <v>0</v>
      </c>
      <c r="I316">
        <v>382</v>
      </c>
      <c r="J316">
        <v>0</v>
      </c>
      <c r="K316">
        <v>0</v>
      </c>
      <c r="L316">
        <v>0</v>
      </c>
      <c r="M316">
        <v>1</v>
      </c>
      <c r="N316">
        <v>599.6</v>
      </c>
      <c r="O316">
        <v>2100.6</v>
      </c>
      <c r="P316">
        <v>6</v>
      </c>
      <c r="Q316">
        <v>21.01</v>
      </c>
      <c r="R316" t="s">
        <v>37</v>
      </c>
      <c r="S316" t="s">
        <v>1277</v>
      </c>
      <c r="T316" s="1">
        <v>43397.621562499997</v>
      </c>
      <c r="U316">
        <v>1</v>
      </c>
      <c r="V316" t="s">
        <v>44</v>
      </c>
      <c r="W316">
        <v>9</v>
      </c>
      <c r="X316" t="s">
        <v>45</v>
      </c>
      <c r="Y316">
        <v>44</v>
      </c>
      <c r="Z316">
        <v>0</v>
      </c>
      <c r="AA316" t="s">
        <v>718</v>
      </c>
      <c r="AB316">
        <v>0</v>
      </c>
      <c r="AC316" t="s">
        <v>43</v>
      </c>
      <c r="AD316">
        <v>15.01</v>
      </c>
      <c r="AE316">
        <v>23.34</v>
      </c>
      <c r="AF316">
        <v>0</v>
      </c>
      <c r="AG316">
        <v>0</v>
      </c>
      <c r="AH316" t="s">
        <v>888</v>
      </c>
      <c r="AI316" t="s">
        <v>43</v>
      </c>
    </row>
    <row r="317" spans="1:35" x14ac:dyDescent="0.25">
      <c r="A317">
        <v>513</v>
      </c>
      <c r="B317" t="s">
        <v>889</v>
      </c>
      <c r="C317" t="s">
        <v>43</v>
      </c>
      <c r="D317">
        <v>38</v>
      </c>
      <c r="E317">
        <v>2970</v>
      </c>
      <c r="F317">
        <v>24</v>
      </c>
      <c r="G317">
        <v>1550</v>
      </c>
      <c r="H317">
        <v>0</v>
      </c>
      <c r="I317">
        <v>376</v>
      </c>
      <c r="J317">
        <v>0</v>
      </c>
      <c r="K317">
        <v>0</v>
      </c>
      <c r="L317">
        <v>0</v>
      </c>
      <c r="M317">
        <v>1</v>
      </c>
      <c r="N317">
        <v>1123</v>
      </c>
      <c r="O317">
        <v>2673</v>
      </c>
      <c r="P317">
        <v>11.23</v>
      </c>
      <c r="Q317">
        <v>26.73</v>
      </c>
      <c r="R317" t="s">
        <v>37</v>
      </c>
      <c r="S317" t="s">
        <v>1277</v>
      </c>
      <c r="T317" s="1">
        <v>43397.621562499997</v>
      </c>
      <c r="U317">
        <v>1</v>
      </c>
      <c r="V317" t="s">
        <v>44</v>
      </c>
      <c r="W317">
        <v>9</v>
      </c>
      <c r="X317" t="s">
        <v>45</v>
      </c>
      <c r="Y317">
        <v>44</v>
      </c>
      <c r="Z317">
        <v>0</v>
      </c>
      <c r="AA317" t="s">
        <v>718</v>
      </c>
      <c r="AB317">
        <v>0</v>
      </c>
      <c r="AC317" t="s">
        <v>43</v>
      </c>
      <c r="AD317">
        <v>15.5</v>
      </c>
      <c r="AE317">
        <v>29.7</v>
      </c>
      <c r="AF317">
        <v>0</v>
      </c>
      <c r="AG317">
        <v>0</v>
      </c>
      <c r="AH317" t="s">
        <v>890</v>
      </c>
      <c r="AI317" t="s">
        <v>43</v>
      </c>
    </row>
    <row r="318" spans="1:35" x14ac:dyDescent="0.25">
      <c r="A318">
        <v>514</v>
      </c>
      <c r="B318" t="s">
        <v>891</v>
      </c>
      <c r="C318" t="s">
        <v>43</v>
      </c>
      <c r="D318">
        <v>19</v>
      </c>
      <c r="E318">
        <v>35000</v>
      </c>
      <c r="F318">
        <v>8</v>
      </c>
      <c r="G318">
        <v>26400</v>
      </c>
      <c r="H318">
        <v>0</v>
      </c>
      <c r="I318">
        <v>261</v>
      </c>
      <c r="J318">
        <v>0</v>
      </c>
      <c r="K318">
        <v>0</v>
      </c>
      <c r="L318">
        <v>0</v>
      </c>
      <c r="M318">
        <v>1</v>
      </c>
      <c r="N318">
        <v>5100</v>
      </c>
      <c r="O318">
        <v>31500</v>
      </c>
      <c r="P318">
        <v>51</v>
      </c>
      <c r="Q318">
        <v>315</v>
      </c>
      <c r="R318" t="s">
        <v>37</v>
      </c>
      <c r="S318" t="s">
        <v>1277</v>
      </c>
      <c r="T318" s="1">
        <v>43397.621562499997</v>
      </c>
      <c r="U318">
        <v>2</v>
      </c>
      <c r="V318" t="s">
        <v>47</v>
      </c>
      <c r="W318">
        <v>9</v>
      </c>
      <c r="X318" t="s">
        <v>45</v>
      </c>
      <c r="Y318">
        <v>44</v>
      </c>
      <c r="Z318">
        <v>0</v>
      </c>
      <c r="AA318" t="s">
        <v>718</v>
      </c>
      <c r="AB318">
        <v>0</v>
      </c>
      <c r="AC318" t="s">
        <v>43</v>
      </c>
      <c r="AD318">
        <v>264</v>
      </c>
      <c r="AE318">
        <v>350</v>
      </c>
      <c r="AF318">
        <v>0</v>
      </c>
      <c r="AG318">
        <v>0</v>
      </c>
      <c r="AH318" t="s">
        <v>892</v>
      </c>
      <c r="AI318" t="s">
        <v>43</v>
      </c>
    </row>
    <row r="319" spans="1:35" x14ac:dyDescent="0.25">
      <c r="A319">
        <v>515</v>
      </c>
      <c r="B319" t="s">
        <v>893</v>
      </c>
      <c r="C319" t="s">
        <v>43</v>
      </c>
      <c r="D319">
        <v>1</v>
      </c>
      <c r="E319">
        <v>1444999</v>
      </c>
      <c r="F319">
        <v>111</v>
      </c>
      <c r="G319">
        <v>600000</v>
      </c>
      <c r="H319">
        <v>0</v>
      </c>
      <c r="I319">
        <v>429</v>
      </c>
      <c r="J319">
        <v>0</v>
      </c>
      <c r="K319">
        <v>0</v>
      </c>
      <c r="L319">
        <v>0</v>
      </c>
      <c r="M319">
        <v>1</v>
      </c>
      <c r="N319">
        <v>700499.1</v>
      </c>
      <c r="O319">
        <v>1300499.1000000001</v>
      </c>
      <c r="P319">
        <v>7004.99</v>
      </c>
      <c r="Q319">
        <v>13004.99</v>
      </c>
      <c r="R319" t="s">
        <v>37</v>
      </c>
      <c r="S319" t="s">
        <v>1277</v>
      </c>
      <c r="T319" s="1">
        <v>43397.621562499997</v>
      </c>
      <c r="U319">
        <v>4</v>
      </c>
      <c r="V319" t="s">
        <v>55</v>
      </c>
      <c r="W319">
        <v>9</v>
      </c>
      <c r="X319" t="s">
        <v>45</v>
      </c>
      <c r="Y319">
        <v>44</v>
      </c>
      <c r="Z319">
        <v>0</v>
      </c>
      <c r="AA319" t="s">
        <v>718</v>
      </c>
      <c r="AB319">
        <v>0</v>
      </c>
      <c r="AC319" t="s">
        <v>43</v>
      </c>
      <c r="AD319">
        <v>6000</v>
      </c>
      <c r="AE319">
        <v>14449.99</v>
      </c>
      <c r="AF319">
        <v>0</v>
      </c>
      <c r="AG319">
        <v>0</v>
      </c>
      <c r="AH319" t="s">
        <v>894</v>
      </c>
      <c r="AI319" t="s">
        <v>43</v>
      </c>
    </row>
    <row r="320" spans="1:35" x14ac:dyDescent="0.25">
      <c r="A320">
        <v>516</v>
      </c>
      <c r="B320" t="s">
        <v>895</v>
      </c>
      <c r="C320" t="s">
        <v>48</v>
      </c>
      <c r="D320">
        <v>13</v>
      </c>
      <c r="E320">
        <v>3778</v>
      </c>
      <c r="F320">
        <v>3</v>
      </c>
      <c r="G320">
        <v>2799</v>
      </c>
      <c r="H320">
        <v>0</v>
      </c>
      <c r="I320">
        <v>301</v>
      </c>
      <c r="J320">
        <v>1</v>
      </c>
      <c r="K320">
        <v>4653</v>
      </c>
      <c r="L320">
        <v>3365</v>
      </c>
      <c r="M320">
        <v>1</v>
      </c>
      <c r="N320">
        <v>601.20000000000005</v>
      </c>
      <c r="O320">
        <v>35.200000000000003</v>
      </c>
      <c r="P320">
        <v>6.01</v>
      </c>
      <c r="Q320">
        <v>0.35</v>
      </c>
      <c r="R320" t="s">
        <v>59</v>
      </c>
      <c r="S320" t="s">
        <v>1277</v>
      </c>
      <c r="T320" s="1">
        <v>43397.621562499997</v>
      </c>
      <c r="U320">
        <v>3</v>
      </c>
      <c r="V320" t="s">
        <v>38</v>
      </c>
      <c r="W320">
        <v>7</v>
      </c>
      <c r="X320" t="s">
        <v>49</v>
      </c>
      <c r="Y320">
        <v>10</v>
      </c>
      <c r="Z320">
        <v>147</v>
      </c>
      <c r="AA320" t="s">
        <v>50</v>
      </c>
      <c r="AB320">
        <v>1</v>
      </c>
      <c r="AC320" t="s">
        <v>60</v>
      </c>
      <c r="AD320">
        <v>27.99</v>
      </c>
      <c r="AE320">
        <v>37.78</v>
      </c>
      <c r="AF320">
        <v>46.53</v>
      </c>
      <c r="AG320">
        <v>33.65</v>
      </c>
      <c r="AH320" t="s">
        <v>896</v>
      </c>
      <c r="AI320" t="s">
        <v>43</v>
      </c>
    </row>
    <row r="321" spans="1:35" x14ac:dyDescent="0.25">
      <c r="A321">
        <v>524</v>
      </c>
      <c r="B321" t="s">
        <v>897</v>
      </c>
      <c r="C321" t="s">
        <v>898</v>
      </c>
      <c r="D321">
        <v>85</v>
      </c>
      <c r="E321">
        <v>8800</v>
      </c>
      <c r="F321">
        <v>7</v>
      </c>
      <c r="G321">
        <v>8000</v>
      </c>
      <c r="H321">
        <v>0</v>
      </c>
      <c r="I321">
        <v>179</v>
      </c>
      <c r="J321">
        <v>1</v>
      </c>
      <c r="K321">
        <v>3229</v>
      </c>
      <c r="L321">
        <v>3210</v>
      </c>
      <c r="M321">
        <v>1</v>
      </c>
      <c r="N321">
        <v>-80</v>
      </c>
      <c r="O321">
        <v>4710</v>
      </c>
      <c r="P321">
        <v>-0.8</v>
      </c>
      <c r="Q321">
        <v>47.1</v>
      </c>
      <c r="R321" t="s">
        <v>37</v>
      </c>
      <c r="S321" t="s">
        <v>1277</v>
      </c>
      <c r="T321" s="1">
        <v>43397.621562499997</v>
      </c>
      <c r="U321">
        <v>4</v>
      </c>
      <c r="V321" t="s">
        <v>55</v>
      </c>
      <c r="W321">
        <v>8</v>
      </c>
      <c r="X321" t="s">
        <v>118</v>
      </c>
      <c r="Y321">
        <v>8</v>
      </c>
      <c r="Z321">
        <v>146</v>
      </c>
      <c r="AA321" t="s">
        <v>232</v>
      </c>
      <c r="AB321">
        <v>1</v>
      </c>
      <c r="AC321" t="s">
        <v>60</v>
      </c>
      <c r="AD321">
        <v>80</v>
      </c>
      <c r="AE321">
        <v>88</v>
      </c>
      <c r="AF321">
        <v>32.29</v>
      </c>
      <c r="AG321">
        <v>32.1</v>
      </c>
      <c r="AH321" t="s">
        <v>899</v>
      </c>
      <c r="AI321" t="s">
        <v>43</v>
      </c>
    </row>
    <row r="322" spans="1:35" x14ac:dyDescent="0.25">
      <c r="A322">
        <v>525</v>
      </c>
      <c r="B322" t="s">
        <v>900</v>
      </c>
      <c r="C322" t="s">
        <v>287</v>
      </c>
      <c r="D322">
        <v>31</v>
      </c>
      <c r="E322">
        <v>1204</v>
      </c>
      <c r="F322">
        <v>50</v>
      </c>
      <c r="G322">
        <v>824</v>
      </c>
      <c r="H322">
        <v>0</v>
      </c>
      <c r="I322">
        <v>248</v>
      </c>
      <c r="J322">
        <v>0</v>
      </c>
      <c r="K322">
        <v>0</v>
      </c>
      <c r="L322">
        <v>0</v>
      </c>
      <c r="M322">
        <v>1</v>
      </c>
      <c r="N322">
        <v>259.60000000000002</v>
      </c>
      <c r="O322">
        <v>1083.5999999999999</v>
      </c>
      <c r="P322">
        <v>2.6</v>
      </c>
      <c r="Q322">
        <v>10.84</v>
      </c>
      <c r="R322" t="s">
        <v>37</v>
      </c>
      <c r="S322" t="s">
        <v>1277</v>
      </c>
      <c r="T322" s="1">
        <v>43397.621562499997</v>
      </c>
      <c r="U322">
        <v>2</v>
      </c>
      <c r="V322" t="s">
        <v>47</v>
      </c>
      <c r="W322">
        <v>7</v>
      </c>
      <c r="X322" t="s">
        <v>49</v>
      </c>
      <c r="Y322">
        <v>10</v>
      </c>
      <c r="Z322">
        <v>0</v>
      </c>
      <c r="AA322" t="s">
        <v>50</v>
      </c>
      <c r="AB322">
        <v>0</v>
      </c>
      <c r="AC322" t="s">
        <v>43</v>
      </c>
      <c r="AD322">
        <v>8.24</v>
      </c>
      <c r="AE322">
        <v>12.04</v>
      </c>
      <c r="AF322">
        <v>0</v>
      </c>
      <c r="AG322">
        <v>0</v>
      </c>
      <c r="AH322" t="s">
        <v>901</v>
      </c>
      <c r="AI322" t="s">
        <v>43</v>
      </c>
    </row>
    <row r="323" spans="1:35" x14ac:dyDescent="0.25">
      <c r="A323">
        <v>526</v>
      </c>
      <c r="B323" t="s">
        <v>902</v>
      </c>
      <c r="C323" t="s">
        <v>903</v>
      </c>
      <c r="D323">
        <v>11</v>
      </c>
      <c r="E323">
        <v>24999</v>
      </c>
      <c r="F323">
        <v>11</v>
      </c>
      <c r="G323">
        <v>23100</v>
      </c>
      <c r="H323">
        <v>0</v>
      </c>
      <c r="I323">
        <v>276</v>
      </c>
      <c r="J323">
        <v>0</v>
      </c>
      <c r="K323">
        <v>0</v>
      </c>
      <c r="L323">
        <v>0</v>
      </c>
      <c r="M323">
        <v>1</v>
      </c>
      <c r="N323">
        <v>-600.9</v>
      </c>
      <c r="O323">
        <v>22499.1</v>
      </c>
      <c r="P323">
        <v>-6.01</v>
      </c>
      <c r="Q323">
        <v>224.99</v>
      </c>
      <c r="R323" t="s">
        <v>37</v>
      </c>
      <c r="S323" t="s">
        <v>1277</v>
      </c>
      <c r="T323" s="1">
        <v>43397.621562499997</v>
      </c>
      <c r="U323">
        <v>4</v>
      </c>
      <c r="V323" t="s">
        <v>55</v>
      </c>
      <c r="W323">
        <v>6</v>
      </c>
      <c r="X323" t="s">
        <v>350</v>
      </c>
      <c r="Y323">
        <v>40</v>
      </c>
      <c r="Z323">
        <v>0</v>
      </c>
      <c r="AA323" t="s">
        <v>426</v>
      </c>
      <c r="AB323">
        <v>0</v>
      </c>
      <c r="AC323" t="s">
        <v>43</v>
      </c>
      <c r="AD323">
        <v>231</v>
      </c>
      <c r="AE323">
        <v>249.99</v>
      </c>
      <c r="AF323">
        <v>0</v>
      </c>
      <c r="AG323">
        <v>0</v>
      </c>
      <c r="AH323" t="s">
        <v>904</v>
      </c>
    </row>
    <row r="324" spans="1:35" x14ac:dyDescent="0.25">
      <c r="A324">
        <v>527</v>
      </c>
      <c r="B324" t="s">
        <v>905</v>
      </c>
      <c r="C324" t="s">
        <v>287</v>
      </c>
      <c r="D324">
        <v>20</v>
      </c>
      <c r="E324">
        <v>39975</v>
      </c>
      <c r="F324">
        <v>26</v>
      </c>
      <c r="G324">
        <v>37901</v>
      </c>
      <c r="H324">
        <v>0</v>
      </c>
      <c r="I324">
        <v>202</v>
      </c>
      <c r="J324">
        <v>0</v>
      </c>
      <c r="K324">
        <v>0</v>
      </c>
      <c r="L324">
        <v>0</v>
      </c>
      <c r="M324">
        <v>1</v>
      </c>
      <c r="N324">
        <v>-1923.5</v>
      </c>
      <c r="O324">
        <v>35977.5</v>
      </c>
      <c r="P324">
        <v>-19.239999999999998</v>
      </c>
      <c r="Q324">
        <v>359.78</v>
      </c>
      <c r="R324" t="s">
        <v>37</v>
      </c>
      <c r="S324" t="s">
        <v>1277</v>
      </c>
      <c r="T324" s="1">
        <v>43397.621562499997</v>
      </c>
      <c r="U324">
        <v>4</v>
      </c>
      <c r="V324" t="s">
        <v>55</v>
      </c>
      <c r="W324">
        <v>7</v>
      </c>
      <c r="X324" t="s">
        <v>49</v>
      </c>
      <c r="Y324">
        <v>10</v>
      </c>
      <c r="Z324">
        <v>0</v>
      </c>
      <c r="AA324" t="s">
        <v>50</v>
      </c>
      <c r="AB324">
        <v>0</v>
      </c>
      <c r="AC324" t="s">
        <v>43</v>
      </c>
      <c r="AD324">
        <v>379.01</v>
      </c>
      <c r="AE324">
        <v>399.75</v>
      </c>
      <c r="AF324">
        <v>0</v>
      </c>
      <c r="AG324">
        <v>0</v>
      </c>
      <c r="AH324" t="s">
        <v>906</v>
      </c>
      <c r="AI324" t="s">
        <v>43</v>
      </c>
    </row>
    <row r="325" spans="1:35" x14ac:dyDescent="0.25">
      <c r="A325">
        <v>528</v>
      </c>
      <c r="B325" t="s">
        <v>907</v>
      </c>
      <c r="C325" t="s">
        <v>287</v>
      </c>
      <c r="D325">
        <v>30</v>
      </c>
      <c r="E325">
        <v>3998</v>
      </c>
      <c r="F325">
        <v>9</v>
      </c>
      <c r="G325">
        <v>3500</v>
      </c>
      <c r="H325">
        <v>0</v>
      </c>
      <c r="I325">
        <v>297</v>
      </c>
      <c r="J325">
        <v>0</v>
      </c>
      <c r="K325">
        <v>0</v>
      </c>
      <c r="L325">
        <v>0</v>
      </c>
      <c r="M325">
        <v>1</v>
      </c>
      <c r="N325">
        <v>98.2</v>
      </c>
      <c r="O325">
        <v>3598.2</v>
      </c>
      <c r="P325">
        <v>0.98</v>
      </c>
      <c r="Q325">
        <v>35.979999999999997</v>
      </c>
      <c r="R325" t="s">
        <v>37</v>
      </c>
      <c r="S325" t="s">
        <v>1277</v>
      </c>
      <c r="T325" s="1">
        <v>43397.621562499997</v>
      </c>
      <c r="U325">
        <v>3</v>
      </c>
      <c r="V325" t="s">
        <v>38</v>
      </c>
      <c r="W325">
        <v>7</v>
      </c>
      <c r="X325" t="s">
        <v>49</v>
      </c>
      <c r="Y325">
        <v>10</v>
      </c>
      <c r="Z325">
        <v>0</v>
      </c>
      <c r="AA325" t="s">
        <v>50</v>
      </c>
      <c r="AB325">
        <v>0</v>
      </c>
      <c r="AC325" t="s">
        <v>43</v>
      </c>
      <c r="AD325">
        <v>35</v>
      </c>
      <c r="AE325">
        <v>39.979999999999997</v>
      </c>
      <c r="AF325">
        <v>0</v>
      </c>
      <c r="AG325">
        <v>0</v>
      </c>
      <c r="AH325" t="s">
        <v>908</v>
      </c>
      <c r="AI325" t="s">
        <v>43</v>
      </c>
    </row>
    <row r="326" spans="1:35" x14ac:dyDescent="0.25">
      <c r="A326">
        <v>529</v>
      </c>
      <c r="B326" t="s">
        <v>909</v>
      </c>
      <c r="C326" t="s">
        <v>910</v>
      </c>
      <c r="D326">
        <v>16</v>
      </c>
      <c r="E326">
        <v>4132</v>
      </c>
      <c r="F326">
        <v>9</v>
      </c>
      <c r="G326">
        <v>3003</v>
      </c>
      <c r="H326">
        <v>0</v>
      </c>
      <c r="I326">
        <v>300</v>
      </c>
      <c r="J326">
        <v>0</v>
      </c>
      <c r="K326">
        <v>0</v>
      </c>
      <c r="L326">
        <v>0</v>
      </c>
      <c r="M326">
        <v>1</v>
      </c>
      <c r="N326">
        <v>715.8</v>
      </c>
      <c r="O326">
        <v>3718.8</v>
      </c>
      <c r="P326">
        <v>7.16</v>
      </c>
      <c r="Q326">
        <v>37.19</v>
      </c>
      <c r="R326" t="s">
        <v>37</v>
      </c>
      <c r="S326" t="s">
        <v>1277</v>
      </c>
      <c r="T326" s="1">
        <v>43397.621562499997</v>
      </c>
      <c r="U326">
        <v>3</v>
      </c>
      <c r="V326" t="s">
        <v>38</v>
      </c>
      <c r="W326">
        <v>6</v>
      </c>
      <c r="X326" t="s">
        <v>350</v>
      </c>
      <c r="Y326">
        <v>2</v>
      </c>
      <c r="Z326">
        <v>0</v>
      </c>
      <c r="AA326" t="s">
        <v>351</v>
      </c>
      <c r="AB326">
        <v>0</v>
      </c>
      <c r="AC326" t="s">
        <v>43</v>
      </c>
      <c r="AD326">
        <v>30.03</v>
      </c>
      <c r="AE326">
        <v>41.32</v>
      </c>
      <c r="AF326">
        <v>0</v>
      </c>
      <c r="AG326">
        <v>0</v>
      </c>
      <c r="AH326" t="s">
        <v>911</v>
      </c>
    </row>
    <row r="327" spans="1:35" x14ac:dyDescent="0.25">
      <c r="A327">
        <v>530</v>
      </c>
      <c r="B327" s="2" t="s">
        <v>912</v>
      </c>
      <c r="C327" t="s">
        <v>43</v>
      </c>
      <c r="D327">
        <v>22</v>
      </c>
      <c r="E327">
        <v>8099</v>
      </c>
      <c r="F327">
        <v>24</v>
      </c>
      <c r="G327">
        <v>7100</v>
      </c>
      <c r="H327">
        <v>0</v>
      </c>
      <c r="I327">
        <v>220</v>
      </c>
      <c r="J327">
        <v>0</v>
      </c>
      <c r="K327">
        <v>0</v>
      </c>
      <c r="L327">
        <v>0</v>
      </c>
      <c r="M327">
        <v>1</v>
      </c>
      <c r="N327">
        <v>189.1</v>
      </c>
      <c r="O327">
        <v>7289.1</v>
      </c>
      <c r="P327">
        <v>1.89</v>
      </c>
      <c r="Q327">
        <v>72.89</v>
      </c>
      <c r="R327" t="s">
        <v>37</v>
      </c>
      <c r="S327" t="s">
        <v>1277</v>
      </c>
      <c r="T327" s="1">
        <v>43397.621562499997</v>
      </c>
      <c r="U327">
        <v>3</v>
      </c>
      <c r="V327" t="s">
        <v>38</v>
      </c>
      <c r="W327">
        <v>6</v>
      </c>
      <c r="X327" t="s">
        <v>350</v>
      </c>
      <c r="Y327">
        <v>38</v>
      </c>
      <c r="Z327">
        <v>0</v>
      </c>
      <c r="AA327" t="s">
        <v>547</v>
      </c>
      <c r="AB327">
        <v>0</v>
      </c>
      <c r="AC327" t="s">
        <v>43</v>
      </c>
      <c r="AD327">
        <v>71</v>
      </c>
      <c r="AE327">
        <v>80.989999999999995</v>
      </c>
      <c r="AF327">
        <v>0</v>
      </c>
      <c r="AG327">
        <v>0</v>
      </c>
      <c r="AH327" t="s">
        <v>913</v>
      </c>
      <c r="AI327" t="s">
        <v>43</v>
      </c>
    </row>
    <row r="328" spans="1:35" x14ac:dyDescent="0.25">
      <c r="A328">
        <v>531</v>
      </c>
      <c r="B328" t="s">
        <v>914</v>
      </c>
      <c r="C328" t="s">
        <v>915</v>
      </c>
      <c r="D328">
        <v>13</v>
      </c>
      <c r="E328">
        <v>4396</v>
      </c>
      <c r="F328">
        <v>7</v>
      </c>
      <c r="G328">
        <v>3900</v>
      </c>
      <c r="H328">
        <v>0</v>
      </c>
      <c r="I328">
        <v>229</v>
      </c>
      <c r="J328">
        <v>0</v>
      </c>
      <c r="K328">
        <v>0</v>
      </c>
      <c r="L328">
        <v>0</v>
      </c>
      <c r="M328">
        <v>1</v>
      </c>
      <c r="N328">
        <v>56.4</v>
      </c>
      <c r="O328">
        <v>3956.4</v>
      </c>
      <c r="P328">
        <v>0.56000000000000005</v>
      </c>
      <c r="Q328">
        <v>39.56</v>
      </c>
      <c r="R328" t="s">
        <v>37</v>
      </c>
      <c r="S328" t="s">
        <v>1277</v>
      </c>
      <c r="T328" s="1">
        <v>43397.621562499997</v>
      </c>
      <c r="U328">
        <v>3</v>
      </c>
      <c r="V328" t="s">
        <v>38</v>
      </c>
      <c r="W328">
        <v>6</v>
      </c>
      <c r="X328" t="s">
        <v>350</v>
      </c>
      <c r="Y328">
        <v>38</v>
      </c>
      <c r="Z328">
        <v>0</v>
      </c>
      <c r="AA328" t="s">
        <v>547</v>
      </c>
      <c r="AB328">
        <v>0</v>
      </c>
      <c r="AC328" t="s">
        <v>43</v>
      </c>
      <c r="AD328">
        <v>39</v>
      </c>
      <c r="AE328">
        <v>43.96</v>
      </c>
      <c r="AF328">
        <v>0</v>
      </c>
      <c r="AG328">
        <v>0</v>
      </c>
      <c r="AH328" t="s">
        <v>916</v>
      </c>
    </row>
    <row r="329" spans="1:35" x14ac:dyDescent="0.25">
      <c r="A329">
        <v>532</v>
      </c>
      <c r="B329" t="s">
        <v>917</v>
      </c>
      <c r="C329" t="s">
        <v>287</v>
      </c>
      <c r="D329">
        <v>54</v>
      </c>
      <c r="E329">
        <v>1600</v>
      </c>
      <c r="F329">
        <v>62</v>
      </c>
      <c r="G329">
        <v>1331</v>
      </c>
      <c r="H329">
        <v>0</v>
      </c>
      <c r="I329">
        <v>198</v>
      </c>
      <c r="J329">
        <v>0</v>
      </c>
      <c r="K329">
        <v>0</v>
      </c>
      <c r="L329">
        <v>0</v>
      </c>
      <c r="M329">
        <v>1</v>
      </c>
      <c r="N329">
        <v>109</v>
      </c>
      <c r="O329">
        <v>1440</v>
      </c>
      <c r="P329">
        <v>1.0900000000000001</v>
      </c>
      <c r="Q329">
        <v>14.4</v>
      </c>
      <c r="R329" t="s">
        <v>37</v>
      </c>
      <c r="S329" t="s">
        <v>1277</v>
      </c>
      <c r="T329" s="1">
        <v>43397.621562499997</v>
      </c>
      <c r="U329">
        <v>2</v>
      </c>
      <c r="V329" t="s">
        <v>47</v>
      </c>
      <c r="W329">
        <v>7</v>
      </c>
      <c r="X329" t="s">
        <v>49</v>
      </c>
      <c r="Y329">
        <v>10</v>
      </c>
      <c r="Z329">
        <v>0</v>
      </c>
      <c r="AA329" t="s">
        <v>50</v>
      </c>
      <c r="AB329">
        <v>0</v>
      </c>
      <c r="AC329" t="s">
        <v>43</v>
      </c>
      <c r="AD329">
        <v>13.31</v>
      </c>
      <c r="AE329">
        <v>16</v>
      </c>
      <c r="AF329">
        <v>0</v>
      </c>
      <c r="AG329">
        <v>0</v>
      </c>
      <c r="AH329" t="s">
        <v>918</v>
      </c>
      <c r="AI329" t="s">
        <v>43</v>
      </c>
    </row>
    <row r="330" spans="1:35" x14ac:dyDescent="0.25">
      <c r="A330">
        <v>533</v>
      </c>
      <c r="B330" s="2" t="s">
        <v>919</v>
      </c>
      <c r="C330" t="s">
        <v>43</v>
      </c>
      <c r="D330">
        <v>37</v>
      </c>
      <c r="E330">
        <v>8598</v>
      </c>
      <c r="F330">
        <v>41</v>
      </c>
      <c r="G330">
        <v>7916</v>
      </c>
      <c r="H330">
        <v>0</v>
      </c>
      <c r="I330">
        <v>191</v>
      </c>
      <c r="J330">
        <v>0</v>
      </c>
      <c r="K330">
        <v>0</v>
      </c>
      <c r="L330">
        <v>0</v>
      </c>
      <c r="M330">
        <v>1</v>
      </c>
      <c r="N330">
        <v>-177.8</v>
      </c>
      <c r="O330">
        <v>7738.2</v>
      </c>
      <c r="P330">
        <v>-1.78</v>
      </c>
      <c r="Q330">
        <v>77.38</v>
      </c>
      <c r="R330" t="s">
        <v>37</v>
      </c>
      <c r="S330" t="s">
        <v>1277</v>
      </c>
      <c r="T330" s="1">
        <v>43397.621562499997</v>
      </c>
      <c r="U330">
        <v>3</v>
      </c>
      <c r="V330" t="s">
        <v>38</v>
      </c>
      <c r="W330">
        <v>6</v>
      </c>
      <c r="X330" t="s">
        <v>350</v>
      </c>
      <c r="Y330">
        <v>38</v>
      </c>
      <c r="Z330">
        <v>0</v>
      </c>
      <c r="AA330" t="s">
        <v>547</v>
      </c>
      <c r="AB330">
        <v>0</v>
      </c>
      <c r="AC330" t="s">
        <v>43</v>
      </c>
      <c r="AD330">
        <v>79.16</v>
      </c>
      <c r="AE330">
        <v>85.98</v>
      </c>
      <c r="AF330">
        <v>0</v>
      </c>
      <c r="AG330">
        <v>0</v>
      </c>
      <c r="AH330" t="s">
        <v>920</v>
      </c>
      <c r="AI330" t="s">
        <v>43</v>
      </c>
    </row>
    <row r="331" spans="1:35" x14ac:dyDescent="0.25">
      <c r="A331">
        <v>534</v>
      </c>
      <c r="B331" t="s">
        <v>921</v>
      </c>
      <c r="C331" t="s">
        <v>922</v>
      </c>
      <c r="D331">
        <v>12</v>
      </c>
      <c r="E331">
        <v>26200</v>
      </c>
      <c r="F331">
        <v>18</v>
      </c>
      <c r="G331">
        <v>22500</v>
      </c>
      <c r="H331">
        <v>0</v>
      </c>
      <c r="I331">
        <v>330</v>
      </c>
      <c r="J331">
        <v>0</v>
      </c>
      <c r="K331">
        <v>0</v>
      </c>
      <c r="L331">
        <v>0</v>
      </c>
      <c r="M331">
        <v>1</v>
      </c>
      <c r="N331">
        <v>1080</v>
      </c>
      <c r="O331">
        <v>23580</v>
      </c>
      <c r="P331">
        <v>10.8</v>
      </c>
      <c r="Q331">
        <v>235.8</v>
      </c>
      <c r="R331" t="s">
        <v>37</v>
      </c>
      <c r="S331" t="s">
        <v>1277</v>
      </c>
      <c r="T331" s="1">
        <v>43397.621562499997</v>
      </c>
      <c r="U331">
        <v>4</v>
      </c>
      <c r="V331" t="s">
        <v>55</v>
      </c>
      <c r="W331">
        <v>6</v>
      </c>
      <c r="X331" t="s">
        <v>350</v>
      </c>
      <c r="Y331">
        <v>2</v>
      </c>
      <c r="Z331">
        <v>0</v>
      </c>
      <c r="AA331" t="s">
        <v>351</v>
      </c>
      <c r="AB331">
        <v>0</v>
      </c>
      <c r="AC331" t="s">
        <v>43</v>
      </c>
      <c r="AD331">
        <v>225</v>
      </c>
      <c r="AE331">
        <v>262</v>
      </c>
      <c r="AF331">
        <v>0</v>
      </c>
      <c r="AG331">
        <v>0</v>
      </c>
      <c r="AH331" t="s">
        <v>923</v>
      </c>
    </row>
    <row r="332" spans="1:35" x14ac:dyDescent="0.25">
      <c r="A332">
        <v>535</v>
      </c>
      <c r="B332" t="s">
        <v>924</v>
      </c>
      <c r="C332" t="s">
        <v>925</v>
      </c>
      <c r="D332">
        <v>66</v>
      </c>
      <c r="E332">
        <v>1258</v>
      </c>
      <c r="F332">
        <v>63</v>
      </c>
      <c r="G332">
        <v>1201</v>
      </c>
      <c r="H332">
        <v>0</v>
      </c>
      <c r="I332">
        <v>153</v>
      </c>
      <c r="J332">
        <v>0</v>
      </c>
      <c r="K332">
        <v>0</v>
      </c>
      <c r="L332">
        <v>0</v>
      </c>
      <c r="M332">
        <v>1</v>
      </c>
      <c r="N332">
        <v>-68.8</v>
      </c>
      <c r="O332">
        <v>1132.2</v>
      </c>
      <c r="P332">
        <v>-0.69</v>
      </c>
      <c r="Q332">
        <v>11.32</v>
      </c>
      <c r="R332" t="s">
        <v>37</v>
      </c>
      <c r="S332" t="s">
        <v>1277</v>
      </c>
      <c r="T332" s="1">
        <v>43397.621562499997</v>
      </c>
      <c r="U332">
        <v>2</v>
      </c>
      <c r="V332" t="s">
        <v>47</v>
      </c>
      <c r="W332">
        <v>6</v>
      </c>
      <c r="X332" t="s">
        <v>350</v>
      </c>
      <c r="Y332">
        <v>2</v>
      </c>
      <c r="Z332">
        <v>0</v>
      </c>
      <c r="AA332" t="s">
        <v>351</v>
      </c>
      <c r="AB332">
        <v>0</v>
      </c>
      <c r="AC332" t="s">
        <v>43</v>
      </c>
      <c r="AD332">
        <v>12.01</v>
      </c>
      <c r="AE332">
        <v>12.58</v>
      </c>
      <c r="AF332">
        <v>0</v>
      </c>
      <c r="AG332">
        <v>0</v>
      </c>
      <c r="AH332" t="s">
        <v>926</v>
      </c>
    </row>
    <row r="333" spans="1:35" x14ac:dyDescent="0.25">
      <c r="A333">
        <v>536</v>
      </c>
      <c r="B333" t="s">
        <v>927</v>
      </c>
      <c r="C333" t="s">
        <v>287</v>
      </c>
      <c r="D333">
        <v>18</v>
      </c>
      <c r="E333">
        <v>2661</v>
      </c>
      <c r="F333">
        <v>20</v>
      </c>
      <c r="G333">
        <v>1924</v>
      </c>
      <c r="H333">
        <v>0</v>
      </c>
      <c r="I333">
        <v>275</v>
      </c>
      <c r="J333">
        <v>0</v>
      </c>
      <c r="K333">
        <v>0</v>
      </c>
      <c r="L333">
        <v>0</v>
      </c>
      <c r="M333">
        <v>1</v>
      </c>
      <c r="N333">
        <v>470.9</v>
      </c>
      <c r="O333">
        <v>2394.9</v>
      </c>
      <c r="P333">
        <v>4.71</v>
      </c>
      <c r="Q333">
        <v>23.95</v>
      </c>
      <c r="R333" t="s">
        <v>37</v>
      </c>
      <c r="S333" t="s">
        <v>1277</v>
      </c>
      <c r="T333" s="1">
        <v>43397.621562499997</v>
      </c>
      <c r="U333">
        <v>5</v>
      </c>
      <c r="V333" t="s">
        <v>140</v>
      </c>
      <c r="W333">
        <v>7</v>
      </c>
      <c r="X333" t="s">
        <v>49</v>
      </c>
      <c r="Y333">
        <v>10</v>
      </c>
      <c r="Z333">
        <v>0</v>
      </c>
      <c r="AA333" t="s">
        <v>50</v>
      </c>
      <c r="AB333">
        <v>0</v>
      </c>
      <c r="AC333" t="s">
        <v>43</v>
      </c>
      <c r="AD333">
        <v>19.239999999999998</v>
      </c>
      <c r="AE333">
        <v>26.61</v>
      </c>
      <c r="AF333">
        <v>0</v>
      </c>
      <c r="AG333">
        <v>0</v>
      </c>
      <c r="AH333" t="s">
        <v>928</v>
      </c>
      <c r="AI333" t="s">
        <v>43</v>
      </c>
    </row>
    <row r="334" spans="1:35" x14ac:dyDescent="0.25">
      <c r="A334">
        <v>543</v>
      </c>
      <c r="B334" t="s">
        <v>929</v>
      </c>
      <c r="C334" t="s">
        <v>287</v>
      </c>
      <c r="D334">
        <v>16</v>
      </c>
      <c r="E334">
        <v>4824</v>
      </c>
      <c r="F334">
        <v>18</v>
      </c>
      <c r="G334">
        <v>3506</v>
      </c>
      <c r="H334">
        <v>0</v>
      </c>
      <c r="I334">
        <v>309</v>
      </c>
      <c r="J334">
        <v>0</v>
      </c>
      <c r="K334">
        <v>0</v>
      </c>
      <c r="L334">
        <v>0</v>
      </c>
      <c r="M334">
        <v>1</v>
      </c>
      <c r="N334">
        <v>835.6</v>
      </c>
      <c r="O334">
        <v>4341.6000000000004</v>
      </c>
      <c r="P334">
        <v>8.36</v>
      </c>
      <c r="Q334">
        <v>43.42</v>
      </c>
      <c r="R334" t="s">
        <v>37</v>
      </c>
      <c r="S334" t="s">
        <v>1277</v>
      </c>
      <c r="T334" s="1">
        <v>43397.621562499997</v>
      </c>
      <c r="U334">
        <v>3</v>
      </c>
      <c r="V334" t="s">
        <v>38</v>
      </c>
      <c r="W334">
        <v>7</v>
      </c>
      <c r="X334" t="s">
        <v>49</v>
      </c>
      <c r="Y334">
        <v>10</v>
      </c>
      <c r="Z334">
        <v>0</v>
      </c>
      <c r="AA334" t="s">
        <v>50</v>
      </c>
      <c r="AB334">
        <v>0</v>
      </c>
      <c r="AC334" t="s">
        <v>43</v>
      </c>
      <c r="AD334">
        <v>35.06</v>
      </c>
      <c r="AE334">
        <v>48.24</v>
      </c>
      <c r="AF334">
        <v>0</v>
      </c>
      <c r="AG334">
        <v>0</v>
      </c>
      <c r="AH334" t="s">
        <v>930</v>
      </c>
      <c r="AI334" t="s">
        <v>43</v>
      </c>
    </row>
    <row r="335" spans="1:35" x14ac:dyDescent="0.25">
      <c r="A335">
        <v>548</v>
      </c>
      <c r="B335" t="s">
        <v>931</v>
      </c>
      <c r="C335" t="s">
        <v>932</v>
      </c>
      <c r="D335">
        <v>15</v>
      </c>
      <c r="E335">
        <v>224893</v>
      </c>
      <c r="F335">
        <v>32</v>
      </c>
      <c r="G335">
        <v>205093</v>
      </c>
      <c r="H335">
        <v>0</v>
      </c>
      <c r="I335">
        <v>33</v>
      </c>
      <c r="J335">
        <v>0</v>
      </c>
      <c r="K335">
        <v>0</v>
      </c>
      <c r="L335">
        <v>0</v>
      </c>
      <c r="M335">
        <v>1</v>
      </c>
      <c r="N335">
        <v>-2689.3</v>
      </c>
      <c r="O335">
        <v>202403.7</v>
      </c>
      <c r="P335">
        <v>-26.89</v>
      </c>
      <c r="Q335">
        <v>2024.04</v>
      </c>
      <c r="R335" t="s">
        <v>37</v>
      </c>
      <c r="S335" t="s">
        <v>1277</v>
      </c>
      <c r="T335" s="1">
        <v>43397.621562499997</v>
      </c>
      <c r="U335">
        <v>3</v>
      </c>
      <c r="V335" t="s">
        <v>38</v>
      </c>
      <c r="W335">
        <v>1</v>
      </c>
      <c r="X335" t="s">
        <v>101</v>
      </c>
      <c r="Y335">
        <v>5</v>
      </c>
      <c r="Z335">
        <v>0</v>
      </c>
      <c r="AA335" t="s">
        <v>182</v>
      </c>
      <c r="AB335">
        <v>0</v>
      </c>
      <c r="AC335" t="s">
        <v>43</v>
      </c>
      <c r="AD335">
        <v>2050.9299999999998</v>
      </c>
      <c r="AE335">
        <v>2248.9299999999998</v>
      </c>
      <c r="AF335">
        <v>0</v>
      </c>
      <c r="AG335">
        <v>0</v>
      </c>
      <c r="AH335" t="s">
        <v>933</v>
      </c>
    </row>
    <row r="336" spans="1:35" x14ac:dyDescent="0.25">
      <c r="A336">
        <v>549</v>
      </c>
      <c r="B336" t="s">
        <v>934</v>
      </c>
      <c r="C336" t="s">
        <v>287</v>
      </c>
      <c r="D336">
        <v>15</v>
      </c>
      <c r="E336">
        <v>15893</v>
      </c>
      <c r="F336">
        <v>9</v>
      </c>
      <c r="G336">
        <v>13515</v>
      </c>
      <c r="H336">
        <v>0</v>
      </c>
      <c r="I336">
        <v>160</v>
      </c>
      <c r="J336">
        <v>0</v>
      </c>
      <c r="K336">
        <v>0</v>
      </c>
      <c r="L336">
        <v>0</v>
      </c>
      <c r="M336">
        <v>1</v>
      </c>
      <c r="N336">
        <v>788.7</v>
      </c>
      <c r="O336">
        <v>14303.7</v>
      </c>
      <c r="P336">
        <v>7.89</v>
      </c>
      <c r="Q336">
        <v>143.04</v>
      </c>
      <c r="R336" t="s">
        <v>37</v>
      </c>
      <c r="S336" t="s">
        <v>1277</v>
      </c>
      <c r="T336" s="1">
        <v>43397.621562499997</v>
      </c>
      <c r="U336">
        <v>3</v>
      </c>
      <c r="V336" t="s">
        <v>38</v>
      </c>
      <c r="W336">
        <v>7</v>
      </c>
      <c r="X336" t="s">
        <v>49</v>
      </c>
      <c r="Y336">
        <v>10</v>
      </c>
      <c r="Z336">
        <v>0</v>
      </c>
      <c r="AA336" t="s">
        <v>50</v>
      </c>
      <c r="AB336">
        <v>0</v>
      </c>
      <c r="AC336" t="s">
        <v>43</v>
      </c>
      <c r="AD336">
        <v>135.15</v>
      </c>
      <c r="AE336">
        <v>158.93</v>
      </c>
      <c r="AF336">
        <v>0</v>
      </c>
      <c r="AG336">
        <v>0</v>
      </c>
      <c r="AH336" t="s">
        <v>935</v>
      </c>
      <c r="AI336" t="s">
        <v>43</v>
      </c>
    </row>
    <row r="337" spans="1:35" x14ac:dyDescent="0.25">
      <c r="A337">
        <v>551</v>
      </c>
      <c r="B337" t="s">
        <v>936</v>
      </c>
      <c r="C337" t="s">
        <v>287</v>
      </c>
      <c r="D337">
        <v>21</v>
      </c>
      <c r="E337">
        <v>3078</v>
      </c>
      <c r="F337">
        <v>12</v>
      </c>
      <c r="G337">
        <v>2409</v>
      </c>
      <c r="H337">
        <v>0</v>
      </c>
      <c r="I337">
        <v>253</v>
      </c>
      <c r="J337">
        <v>0</v>
      </c>
      <c r="K337">
        <v>0</v>
      </c>
      <c r="L337">
        <v>0</v>
      </c>
      <c r="M337">
        <v>1</v>
      </c>
      <c r="N337">
        <v>361.2</v>
      </c>
      <c r="O337">
        <v>2770.2</v>
      </c>
      <c r="P337">
        <v>3.61</v>
      </c>
      <c r="Q337">
        <v>27.7</v>
      </c>
      <c r="R337" t="s">
        <v>37</v>
      </c>
      <c r="S337" t="s">
        <v>1277</v>
      </c>
      <c r="T337" s="1">
        <v>43397.621562499997</v>
      </c>
      <c r="U337">
        <v>5</v>
      </c>
      <c r="V337" t="s">
        <v>140</v>
      </c>
      <c r="W337">
        <v>7</v>
      </c>
      <c r="X337" t="s">
        <v>49</v>
      </c>
      <c r="Y337">
        <v>10</v>
      </c>
      <c r="Z337">
        <v>0</v>
      </c>
      <c r="AA337" t="s">
        <v>50</v>
      </c>
      <c r="AB337">
        <v>0</v>
      </c>
      <c r="AC337" t="s">
        <v>43</v>
      </c>
      <c r="AD337">
        <v>24.09</v>
      </c>
      <c r="AE337">
        <v>30.78</v>
      </c>
      <c r="AF337">
        <v>0</v>
      </c>
      <c r="AG337">
        <v>0</v>
      </c>
      <c r="AH337" t="s">
        <v>937</v>
      </c>
      <c r="AI337" t="s">
        <v>43</v>
      </c>
    </row>
    <row r="338" spans="1:35" x14ac:dyDescent="0.25">
      <c r="A338">
        <v>554</v>
      </c>
      <c r="B338" t="s">
        <v>938</v>
      </c>
      <c r="C338" t="s">
        <v>939</v>
      </c>
      <c r="D338">
        <v>44</v>
      </c>
      <c r="E338">
        <v>479</v>
      </c>
      <c r="F338">
        <v>16</v>
      </c>
      <c r="G338">
        <v>354</v>
      </c>
      <c r="H338">
        <v>0</v>
      </c>
      <c r="I338">
        <v>291</v>
      </c>
      <c r="J338">
        <v>0</v>
      </c>
      <c r="K338">
        <v>0</v>
      </c>
      <c r="L338">
        <v>0</v>
      </c>
      <c r="M338">
        <v>1</v>
      </c>
      <c r="N338">
        <v>77.099999999999994</v>
      </c>
      <c r="O338">
        <v>431.1</v>
      </c>
      <c r="P338">
        <v>0.77</v>
      </c>
      <c r="Q338">
        <v>4.3099999999999996</v>
      </c>
      <c r="R338" t="s">
        <v>37</v>
      </c>
      <c r="S338" t="s">
        <v>1277</v>
      </c>
      <c r="T338" s="1">
        <v>43397.621562499997</v>
      </c>
      <c r="U338">
        <v>2</v>
      </c>
      <c r="V338" t="s">
        <v>47</v>
      </c>
      <c r="W338">
        <v>6</v>
      </c>
      <c r="X338" t="s">
        <v>350</v>
      </c>
      <c r="Y338">
        <v>39</v>
      </c>
      <c r="Z338">
        <v>0</v>
      </c>
      <c r="AA338" t="s">
        <v>511</v>
      </c>
      <c r="AB338">
        <v>0</v>
      </c>
      <c r="AC338" t="s">
        <v>43</v>
      </c>
      <c r="AD338">
        <v>3.54</v>
      </c>
      <c r="AE338">
        <v>4.79</v>
      </c>
      <c r="AF338">
        <v>0</v>
      </c>
      <c r="AG338">
        <v>0</v>
      </c>
      <c r="AH338" t="s">
        <v>940</v>
      </c>
    </row>
    <row r="339" spans="1:35" x14ac:dyDescent="0.25">
      <c r="A339">
        <v>560</v>
      </c>
      <c r="B339" t="s">
        <v>941</v>
      </c>
      <c r="C339" t="s">
        <v>942</v>
      </c>
      <c r="D339">
        <v>44</v>
      </c>
      <c r="E339">
        <v>36898</v>
      </c>
      <c r="F339">
        <v>16</v>
      </c>
      <c r="G339">
        <v>31601</v>
      </c>
      <c r="H339">
        <v>0</v>
      </c>
      <c r="I339">
        <v>19</v>
      </c>
      <c r="J339">
        <v>0</v>
      </c>
      <c r="K339">
        <v>0</v>
      </c>
      <c r="L339">
        <v>0</v>
      </c>
      <c r="M339">
        <v>1</v>
      </c>
      <c r="N339">
        <v>1607.2</v>
      </c>
      <c r="O339">
        <v>33208.199999999997</v>
      </c>
      <c r="P339">
        <v>16.07</v>
      </c>
      <c r="Q339">
        <v>332.08</v>
      </c>
      <c r="R339" t="s">
        <v>37</v>
      </c>
      <c r="S339" t="s">
        <v>1277</v>
      </c>
      <c r="T339" s="1">
        <v>43397.621562499997</v>
      </c>
      <c r="U339">
        <v>3</v>
      </c>
      <c r="V339" t="s">
        <v>38</v>
      </c>
      <c r="W339">
        <v>2</v>
      </c>
      <c r="X339" t="s">
        <v>39</v>
      </c>
      <c r="Y339">
        <v>13</v>
      </c>
      <c r="Z339">
        <v>0</v>
      </c>
      <c r="AA339" t="s">
        <v>213</v>
      </c>
      <c r="AB339">
        <v>0</v>
      </c>
      <c r="AC339" t="s">
        <v>43</v>
      </c>
      <c r="AD339">
        <v>316.01</v>
      </c>
      <c r="AE339">
        <v>368.98</v>
      </c>
      <c r="AF339">
        <v>0</v>
      </c>
      <c r="AG339">
        <v>0</v>
      </c>
      <c r="AH339" t="s">
        <v>943</v>
      </c>
    </row>
    <row r="340" spans="1:35" x14ac:dyDescent="0.25">
      <c r="A340">
        <v>561</v>
      </c>
      <c r="B340" t="s">
        <v>944</v>
      </c>
      <c r="C340" t="s">
        <v>945</v>
      </c>
      <c r="D340">
        <v>20</v>
      </c>
      <c r="E340">
        <v>49500</v>
      </c>
      <c r="F340">
        <v>11</v>
      </c>
      <c r="G340">
        <v>43510</v>
      </c>
      <c r="H340">
        <v>0</v>
      </c>
      <c r="I340">
        <v>89</v>
      </c>
      <c r="J340">
        <v>0</v>
      </c>
      <c r="K340">
        <v>0</v>
      </c>
      <c r="L340">
        <v>0</v>
      </c>
      <c r="M340">
        <v>1</v>
      </c>
      <c r="N340">
        <v>1040</v>
      </c>
      <c r="O340">
        <v>44550</v>
      </c>
      <c r="P340">
        <v>10.4</v>
      </c>
      <c r="Q340">
        <v>445.5</v>
      </c>
      <c r="R340" t="s">
        <v>37</v>
      </c>
      <c r="S340" t="s">
        <v>1277</v>
      </c>
      <c r="T340" s="1">
        <v>43397.621562499997</v>
      </c>
      <c r="U340">
        <v>3</v>
      </c>
      <c r="V340" t="s">
        <v>38</v>
      </c>
      <c r="W340">
        <v>1</v>
      </c>
      <c r="X340" t="s">
        <v>101</v>
      </c>
      <c r="Y340">
        <v>56</v>
      </c>
      <c r="Z340">
        <v>0</v>
      </c>
      <c r="AA340" t="s">
        <v>102</v>
      </c>
      <c r="AB340">
        <v>0</v>
      </c>
      <c r="AC340" t="s">
        <v>43</v>
      </c>
      <c r="AD340">
        <v>435.1</v>
      </c>
      <c r="AE340">
        <v>495</v>
      </c>
      <c r="AF340">
        <v>0</v>
      </c>
      <c r="AG340">
        <v>0</v>
      </c>
      <c r="AH340" t="s">
        <v>946</v>
      </c>
    </row>
    <row r="341" spans="1:35" x14ac:dyDescent="0.25">
      <c r="A341">
        <v>562</v>
      </c>
      <c r="B341" t="s">
        <v>947</v>
      </c>
      <c r="C341" t="s">
        <v>948</v>
      </c>
      <c r="D341">
        <v>28</v>
      </c>
      <c r="E341">
        <v>12949</v>
      </c>
      <c r="F341">
        <v>16</v>
      </c>
      <c r="G341">
        <v>9174</v>
      </c>
      <c r="H341">
        <v>0</v>
      </c>
      <c r="I341">
        <v>197</v>
      </c>
      <c r="J341">
        <v>0</v>
      </c>
      <c r="K341">
        <v>0</v>
      </c>
      <c r="L341">
        <v>0</v>
      </c>
      <c r="M341">
        <v>1</v>
      </c>
      <c r="N341">
        <v>2480.1</v>
      </c>
      <c r="O341">
        <v>11654.1</v>
      </c>
      <c r="P341" s="2">
        <v>24.8</v>
      </c>
      <c r="Q341">
        <v>116.54</v>
      </c>
      <c r="R341" t="s">
        <v>37</v>
      </c>
      <c r="S341" t="s">
        <v>1277</v>
      </c>
      <c r="T341" s="1">
        <v>43397.621562499997</v>
      </c>
      <c r="U341">
        <v>4</v>
      </c>
      <c r="V341" t="s">
        <v>55</v>
      </c>
      <c r="W341">
        <v>8</v>
      </c>
      <c r="X341" t="s">
        <v>118</v>
      </c>
      <c r="Y341">
        <v>8</v>
      </c>
      <c r="Z341">
        <v>0</v>
      </c>
      <c r="AA341" t="s">
        <v>232</v>
      </c>
      <c r="AB341">
        <v>0</v>
      </c>
      <c r="AC341" t="s">
        <v>43</v>
      </c>
      <c r="AD341">
        <v>91.74</v>
      </c>
      <c r="AE341">
        <v>129.49</v>
      </c>
      <c r="AF341">
        <v>0</v>
      </c>
      <c r="AG341">
        <v>0</v>
      </c>
      <c r="AH341" t="s">
        <v>949</v>
      </c>
      <c r="AI341" t="s">
        <v>43</v>
      </c>
    </row>
    <row r="342" spans="1:35" x14ac:dyDescent="0.25">
      <c r="A342">
        <v>564</v>
      </c>
      <c r="B342" t="s">
        <v>950</v>
      </c>
      <c r="C342" t="s">
        <v>951</v>
      </c>
      <c r="D342">
        <v>12</v>
      </c>
      <c r="E342">
        <v>39885</v>
      </c>
      <c r="F342">
        <v>7</v>
      </c>
      <c r="G342">
        <v>28999</v>
      </c>
      <c r="H342">
        <v>0</v>
      </c>
      <c r="I342">
        <v>280</v>
      </c>
      <c r="J342">
        <v>0</v>
      </c>
      <c r="K342">
        <v>0</v>
      </c>
      <c r="L342">
        <v>0</v>
      </c>
      <c r="M342">
        <v>1</v>
      </c>
      <c r="N342">
        <v>6897.5</v>
      </c>
      <c r="O342">
        <v>35896.5</v>
      </c>
      <c r="P342">
        <v>68.98</v>
      </c>
      <c r="Q342">
        <v>358.97</v>
      </c>
      <c r="R342" t="s">
        <v>37</v>
      </c>
      <c r="S342" t="s">
        <v>1277</v>
      </c>
      <c r="T342" s="1">
        <v>43397.621562499997</v>
      </c>
      <c r="U342">
        <v>3</v>
      </c>
      <c r="V342" t="s">
        <v>38</v>
      </c>
      <c r="W342">
        <v>6</v>
      </c>
      <c r="X342" t="s">
        <v>350</v>
      </c>
      <c r="Y342">
        <v>38</v>
      </c>
      <c r="Z342">
        <v>0</v>
      </c>
      <c r="AA342" t="s">
        <v>547</v>
      </c>
      <c r="AB342">
        <v>0</v>
      </c>
      <c r="AC342" t="s">
        <v>43</v>
      </c>
      <c r="AD342">
        <v>289.99</v>
      </c>
      <c r="AE342">
        <v>398.85</v>
      </c>
      <c r="AF342">
        <v>0</v>
      </c>
      <c r="AG342">
        <v>0</v>
      </c>
      <c r="AH342" t="s">
        <v>952</v>
      </c>
    </row>
    <row r="343" spans="1:35" x14ac:dyDescent="0.25">
      <c r="A343">
        <v>565</v>
      </c>
      <c r="B343" t="s">
        <v>953</v>
      </c>
      <c r="C343" t="s">
        <v>344</v>
      </c>
      <c r="D343">
        <v>22</v>
      </c>
      <c r="E343">
        <v>7925</v>
      </c>
      <c r="F343">
        <v>4</v>
      </c>
      <c r="G343">
        <v>6122</v>
      </c>
      <c r="H343">
        <v>0</v>
      </c>
      <c r="I343">
        <v>203</v>
      </c>
      <c r="J343">
        <v>0</v>
      </c>
      <c r="K343">
        <v>0</v>
      </c>
      <c r="L343">
        <v>0</v>
      </c>
      <c r="M343">
        <v>1</v>
      </c>
      <c r="N343">
        <v>1010.5</v>
      </c>
      <c r="O343">
        <v>7132.5</v>
      </c>
      <c r="P343">
        <v>10.11</v>
      </c>
      <c r="Q343">
        <v>71.33</v>
      </c>
      <c r="R343" t="s">
        <v>37</v>
      </c>
      <c r="S343" t="s">
        <v>1277</v>
      </c>
      <c r="T343" s="1">
        <v>43397.621562499997</v>
      </c>
      <c r="U343">
        <v>5</v>
      </c>
      <c r="V343" t="s">
        <v>140</v>
      </c>
      <c r="W343">
        <v>7</v>
      </c>
      <c r="X343" t="s">
        <v>49</v>
      </c>
      <c r="Y343">
        <v>10</v>
      </c>
      <c r="Z343">
        <v>0</v>
      </c>
      <c r="AA343" t="s">
        <v>50</v>
      </c>
      <c r="AB343">
        <v>0</v>
      </c>
      <c r="AC343" t="s">
        <v>43</v>
      </c>
      <c r="AD343">
        <v>61.22</v>
      </c>
      <c r="AE343">
        <v>79.25</v>
      </c>
      <c r="AF343">
        <v>0</v>
      </c>
      <c r="AG343">
        <v>0</v>
      </c>
      <c r="AH343" t="s">
        <v>954</v>
      </c>
      <c r="AI343" t="s">
        <v>43</v>
      </c>
    </row>
    <row r="344" spans="1:35" x14ac:dyDescent="0.25">
      <c r="A344">
        <v>566</v>
      </c>
      <c r="B344" t="s">
        <v>955</v>
      </c>
      <c r="C344" t="s">
        <v>956</v>
      </c>
      <c r="D344">
        <v>17</v>
      </c>
      <c r="E344">
        <v>72500</v>
      </c>
      <c r="F344">
        <v>3</v>
      </c>
      <c r="G344">
        <v>55000</v>
      </c>
      <c r="H344">
        <v>0</v>
      </c>
      <c r="I344">
        <v>201</v>
      </c>
      <c r="J344">
        <v>0</v>
      </c>
      <c r="K344">
        <v>0</v>
      </c>
      <c r="L344">
        <v>0</v>
      </c>
      <c r="M344">
        <v>1</v>
      </c>
      <c r="N344">
        <v>10250</v>
      </c>
      <c r="O344">
        <v>65250</v>
      </c>
      <c r="P344">
        <v>102.5</v>
      </c>
      <c r="Q344">
        <v>652.5</v>
      </c>
      <c r="R344" t="s">
        <v>37</v>
      </c>
      <c r="S344" t="s">
        <v>1277</v>
      </c>
      <c r="T344" s="1">
        <v>43397.621562499997</v>
      </c>
      <c r="U344">
        <v>3</v>
      </c>
      <c r="V344" t="s">
        <v>38</v>
      </c>
      <c r="W344">
        <v>6</v>
      </c>
      <c r="X344" t="s">
        <v>350</v>
      </c>
      <c r="Y344">
        <v>2</v>
      </c>
      <c r="Z344">
        <v>0</v>
      </c>
      <c r="AA344" t="s">
        <v>351</v>
      </c>
      <c r="AB344">
        <v>0</v>
      </c>
      <c r="AC344" t="s">
        <v>43</v>
      </c>
      <c r="AD344">
        <v>550</v>
      </c>
      <c r="AE344">
        <v>725</v>
      </c>
      <c r="AF344">
        <v>0</v>
      </c>
      <c r="AG344">
        <v>0</v>
      </c>
      <c r="AH344" t="s">
        <v>957</v>
      </c>
    </row>
    <row r="345" spans="1:35" x14ac:dyDescent="0.25">
      <c r="A345">
        <v>567</v>
      </c>
      <c r="B345" t="s">
        <v>958</v>
      </c>
      <c r="C345" t="s">
        <v>959</v>
      </c>
      <c r="D345">
        <v>16</v>
      </c>
      <c r="E345">
        <v>8397</v>
      </c>
      <c r="F345">
        <v>4</v>
      </c>
      <c r="G345">
        <v>6805</v>
      </c>
      <c r="H345">
        <v>0</v>
      </c>
      <c r="I345">
        <v>312</v>
      </c>
      <c r="J345">
        <v>0</v>
      </c>
      <c r="K345">
        <v>0</v>
      </c>
      <c r="L345">
        <v>0</v>
      </c>
      <c r="M345">
        <v>1</v>
      </c>
      <c r="N345">
        <v>752.3</v>
      </c>
      <c r="O345">
        <v>7557.3</v>
      </c>
      <c r="P345">
        <v>7.52</v>
      </c>
      <c r="Q345">
        <v>75.569999999999993</v>
      </c>
      <c r="R345" t="s">
        <v>37</v>
      </c>
      <c r="S345" t="s">
        <v>1277</v>
      </c>
      <c r="T345" s="1">
        <v>43397.621562499997</v>
      </c>
      <c r="U345">
        <v>2</v>
      </c>
      <c r="V345" t="s">
        <v>47</v>
      </c>
      <c r="W345">
        <v>6</v>
      </c>
      <c r="X345" t="s">
        <v>350</v>
      </c>
      <c r="Y345">
        <v>38</v>
      </c>
      <c r="Z345">
        <v>0</v>
      </c>
      <c r="AA345" t="s">
        <v>547</v>
      </c>
      <c r="AB345">
        <v>0</v>
      </c>
      <c r="AC345" t="s">
        <v>43</v>
      </c>
      <c r="AD345">
        <v>68.05</v>
      </c>
      <c r="AE345">
        <v>83.97</v>
      </c>
      <c r="AF345">
        <v>0</v>
      </c>
      <c r="AG345">
        <v>0</v>
      </c>
      <c r="AH345" t="s">
        <v>960</v>
      </c>
    </row>
    <row r="346" spans="1:35" x14ac:dyDescent="0.25">
      <c r="A346">
        <v>568</v>
      </c>
      <c r="B346" t="s">
        <v>961</v>
      </c>
      <c r="C346" t="s">
        <v>962</v>
      </c>
      <c r="D346">
        <v>13</v>
      </c>
      <c r="E346">
        <v>2512</v>
      </c>
      <c r="F346">
        <v>10</v>
      </c>
      <c r="G346">
        <v>1640</v>
      </c>
      <c r="H346">
        <v>0</v>
      </c>
      <c r="I346">
        <v>371</v>
      </c>
      <c r="J346">
        <v>0</v>
      </c>
      <c r="K346">
        <v>0</v>
      </c>
      <c r="L346">
        <v>0</v>
      </c>
      <c r="M346">
        <v>1</v>
      </c>
      <c r="N346">
        <v>620.79999999999995</v>
      </c>
      <c r="O346">
        <v>2260.8000000000002</v>
      </c>
      <c r="P346">
        <v>6.21</v>
      </c>
      <c r="Q346">
        <v>22.61</v>
      </c>
      <c r="R346" t="s">
        <v>37</v>
      </c>
      <c r="S346" t="s">
        <v>1277</v>
      </c>
      <c r="T346" s="1">
        <v>43397.621562499997</v>
      </c>
      <c r="U346">
        <v>2</v>
      </c>
      <c r="V346" t="s">
        <v>47</v>
      </c>
      <c r="W346">
        <v>6</v>
      </c>
      <c r="X346" t="s">
        <v>350</v>
      </c>
      <c r="Y346">
        <v>2</v>
      </c>
      <c r="Z346">
        <v>0</v>
      </c>
      <c r="AA346" t="s">
        <v>351</v>
      </c>
      <c r="AB346">
        <v>0</v>
      </c>
      <c r="AC346" t="s">
        <v>43</v>
      </c>
      <c r="AD346">
        <v>16.399999999999999</v>
      </c>
      <c r="AE346">
        <v>25.12</v>
      </c>
      <c r="AF346">
        <v>0</v>
      </c>
      <c r="AG346">
        <v>0</v>
      </c>
      <c r="AH346" t="s">
        <v>963</v>
      </c>
    </row>
    <row r="347" spans="1:35" x14ac:dyDescent="0.25">
      <c r="A347">
        <v>569</v>
      </c>
      <c r="B347" t="s">
        <v>964</v>
      </c>
      <c r="C347" t="s">
        <v>43</v>
      </c>
      <c r="D347">
        <v>11</v>
      </c>
      <c r="E347">
        <v>27970</v>
      </c>
      <c r="F347">
        <v>4</v>
      </c>
      <c r="G347">
        <v>18751</v>
      </c>
      <c r="H347">
        <v>0</v>
      </c>
      <c r="I347">
        <v>410</v>
      </c>
      <c r="J347">
        <v>0</v>
      </c>
      <c r="K347">
        <v>0</v>
      </c>
      <c r="L347">
        <v>0</v>
      </c>
      <c r="M347">
        <v>1</v>
      </c>
      <c r="N347">
        <v>6422</v>
      </c>
      <c r="O347">
        <v>25173</v>
      </c>
      <c r="P347">
        <v>64.22</v>
      </c>
      <c r="Q347">
        <v>251.73</v>
      </c>
      <c r="R347" t="s">
        <v>37</v>
      </c>
      <c r="S347" t="s">
        <v>1277</v>
      </c>
      <c r="T347" s="1">
        <v>43397.621562499997</v>
      </c>
      <c r="U347">
        <v>3</v>
      </c>
      <c r="V347" t="s">
        <v>38</v>
      </c>
      <c r="W347">
        <v>9</v>
      </c>
      <c r="X347" t="s">
        <v>45</v>
      </c>
      <c r="Y347">
        <v>52</v>
      </c>
      <c r="Z347">
        <v>0</v>
      </c>
      <c r="AA347" t="s">
        <v>46</v>
      </c>
      <c r="AB347">
        <v>0</v>
      </c>
      <c r="AC347" t="s">
        <v>43</v>
      </c>
      <c r="AD347">
        <v>187.51</v>
      </c>
      <c r="AE347">
        <v>279.7</v>
      </c>
      <c r="AF347">
        <v>0</v>
      </c>
      <c r="AG347">
        <v>0</v>
      </c>
      <c r="AH347" t="s">
        <v>965</v>
      </c>
      <c r="AI347" t="s">
        <v>43</v>
      </c>
    </row>
    <row r="348" spans="1:35" x14ac:dyDescent="0.25">
      <c r="A348">
        <v>570</v>
      </c>
      <c r="B348" t="s">
        <v>966</v>
      </c>
      <c r="C348" t="s">
        <v>43</v>
      </c>
      <c r="D348">
        <v>10</v>
      </c>
      <c r="E348">
        <v>3999</v>
      </c>
      <c r="F348">
        <v>12</v>
      </c>
      <c r="G348">
        <v>3101</v>
      </c>
      <c r="H348">
        <v>0</v>
      </c>
      <c r="I348">
        <v>332</v>
      </c>
      <c r="J348">
        <v>0</v>
      </c>
      <c r="K348">
        <v>0</v>
      </c>
      <c r="L348">
        <v>0</v>
      </c>
      <c r="M348">
        <v>1</v>
      </c>
      <c r="N348">
        <v>498.1</v>
      </c>
      <c r="O348">
        <v>3599.1</v>
      </c>
      <c r="P348">
        <v>4.9800000000000004</v>
      </c>
      <c r="Q348">
        <v>35.99</v>
      </c>
      <c r="R348" t="s">
        <v>37</v>
      </c>
      <c r="S348" t="s">
        <v>1277</v>
      </c>
      <c r="T348" s="1">
        <v>43397.621562499997</v>
      </c>
      <c r="U348">
        <v>1</v>
      </c>
      <c r="V348" t="s">
        <v>44</v>
      </c>
      <c r="W348">
        <v>9</v>
      </c>
      <c r="X348" t="s">
        <v>45</v>
      </c>
      <c r="Y348">
        <v>52</v>
      </c>
      <c r="Z348">
        <v>0</v>
      </c>
      <c r="AA348" t="s">
        <v>46</v>
      </c>
      <c r="AB348">
        <v>0</v>
      </c>
      <c r="AC348" t="s">
        <v>43</v>
      </c>
      <c r="AD348">
        <v>31.01</v>
      </c>
      <c r="AE348">
        <v>39.99</v>
      </c>
      <c r="AF348">
        <v>0</v>
      </c>
      <c r="AG348">
        <v>0</v>
      </c>
      <c r="AH348" t="s">
        <v>967</v>
      </c>
      <c r="AI348" t="s">
        <v>43</v>
      </c>
    </row>
    <row r="349" spans="1:35" x14ac:dyDescent="0.25">
      <c r="A349">
        <v>571</v>
      </c>
      <c r="B349" t="s">
        <v>968</v>
      </c>
      <c r="C349" t="s">
        <v>969</v>
      </c>
      <c r="D349">
        <v>21</v>
      </c>
      <c r="E349">
        <v>69997</v>
      </c>
      <c r="F349">
        <v>5</v>
      </c>
      <c r="G349">
        <v>54608</v>
      </c>
      <c r="H349">
        <v>0</v>
      </c>
      <c r="I349">
        <v>305</v>
      </c>
      <c r="J349">
        <v>0</v>
      </c>
      <c r="K349">
        <v>0</v>
      </c>
      <c r="L349">
        <v>0</v>
      </c>
      <c r="M349">
        <v>1</v>
      </c>
      <c r="N349">
        <v>8389.2999999999993</v>
      </c>
      <c r="O349">
        <v>62997.3</v>
      </c>
      <c r="P349">
        <v>83.89</v>
      </c>
      <c r="Q349">
        <v>629.97</v>
      </c>
      <c r="R349" t="s">
        <v>37</v>
      </c>
      <c r="S349" t="s">
        <v>1277</v>
      </c>
      <c r="T349" s="1">
        <v>43397.621562499997</v>
      </c>
      <c r="U349">
        <v>3</v>
      </c>
      <c r="V349" t="s">
        <v>38</v>
      </c>
      <c r="W349">
        <v>6</v>
      </c>
      <c r="X349" t="s">
        <v>350</v>
      </c>
      <c r="Y349">
        <v>2</v>
      </c>
      <c r="Z349">
        <v>0</v>
      </c>
      <c r="AA349" t="s">
        <v>351</v>
      </c>
      <c r="AB349">
        <v>0</v>
      </c>
      <c r="AC349" t="s">
        <v>43</v>
      </c>
      <c r="AD349">
        <v>546.08000000000004</v>
      </c>
      <c r="AE349">
        <v>699.97</v>
      </c>
      <c r="AF349">
        <v>0</v>
      </c>
      <c r="AG349">
        <v>0</v>
      </c>
      <c r="AH349" t="s">
        <v>970</v>
      </c>
    </row>
    <row r="350" spans="1:35" x14ac:dyDescent="0.25">
      <c r="A350">
        <v>572</v>
      </c>
      <c r="B350" t="s">
        <v>971</v>
      </c>
      <c r="C350" t="s">
        <v>43</v>
      </c>
      <c r="D350">
        <v>7</v>
      </c>
      <c r="E350">
        <v>77677</v>
      </c>
      <c r="F350">
        <v>9</v>
      </c>
      <c r="G350">
        <v>40101</v>
      </c>
      <c r="H350">
        <v>0</v>
      </c>
      <c r="I350">
        <v>426</v>
      </c>
      <c r="J350">
        <v>0</v>
      </c>
      <c r="K350">
        <v>0</v>
      </c>
      <c r="L350">
        <v>0</v>
      </c>
      <c r="M350">
        <v>1</v>
      </c>
      <c r="N350">
        <v>29808.3</v>
      </c>
      <c r="O350">
        <v>69909.3</v>
      </c>
      <c r="P350">
        <v>298.08</v>
      </c>
      <c r="Q350">
        <v>699.09</v>
      </c>
      <c r="R350" t="s">
        <v>37</v>
      </c>
      <c r="S350" t="s">
        <v>1277</v>
      </c>
      <c r="T350" s="1">
        <v>43397.621562499997</v>
      </c>
      <c r="U350">
        <v>4</v>
      </c>
      <c r="V350" t="s">
        <v>55</v>
      </c>
      <c r="W350">
        <v>9</v>
      </c>
      <c r="X350" t="s">
        <v>45</v>
      </c>
      <c r="Y350">
        <v>52</v>
      </c>
      <c r="Z350">
        <v>0</v>
      </c>
      <c r="AA350" t="s">
        <v>46</v>
      </c>
      <c r="AB350">
        <v>0</v>
      </c>
      <c r="AC350" t="s">
        <v>43</v>
      </c>
      <c r="AD350">
        <v>401.01</v>
      </c>
      <c r="AE350">
        <v>776.77</v>
      </c>
      <c r="AF350">
        <v>0</v>
      </c>
      <c r="AG350">
        <v>0</v>
      </c>
      <c r="AH350" t="s">
        <v>972</v>
      </c>
      <c r="AI350" t="s">
        <v>43</v>
      </c>
    </row>
    <row r="351" spans="1:35" x14ac:dyDescent="0.25">
      <c r="A351">
        <v>573</v>
      </c>
      <c r="B351" t="s">
        <v>973</v>
      </c>
      <c r="C351" t="s">
        <v>974</v>
      </c>
      <c r="D351">
        <v>11</v>
      </c>
      <c r="E351">
        <v>4996</v>
      </c>
      <c r="F351">
        <v>4</v>
      </c>
      <c r="G351">
        <v>3604</v>
      </c>
      <c r="H351">
        <v>0</v>
      </c>
      <c r="I351">
        <v>370</v>
      </c>
      <c r="J351">
        <v>0</v>
      </c>
      <c r="K351">
        <v>0</v>
      </c>
      <c r="L351">
        <v>0</v>
      </c>
      <c r="M351">
        <v>1</v>
      </c>
      <c r="N351">
        <v>892.4</v>
      </c>
      <c r="O351">
        <v>4496.3999999999996</v>
      </c>
      <c r="P351">
        <v>8.92</v>
      </c>
      <c r="Q351">
        <v>44.96</v>
      </c>
      <c r="R351" t="s">
        <v>37</v>
      </c>
      <c r="S351" t="s">
        <v>1277</v>
      </c>
      <c r="T351" s="1">
        <v>43397.621562499997</v>
      </c>
      <c r="U351">
        <v>2</v>
      </c>
      <c r="V351" t="s">
        <v>47</v>
      </c>
      <c r="W351">
        <v>6</v>
      </c>
      <c r="X351" t="s">
        <v>350</v>
      </c>
      <c r="Y351">
        <v>2</v>
      </c>
      <c r="Z351">
        <v>0</v>
      </c>
      <c r="AA351" t="s">
        <v>351</v>
      </c>
      <c r="AB351">
        <v>0</v>
      </c>
      <c r="AC351" t="s">
        <v>43</v>
      </c>
      <c r="AD351">
        <v>36.04</v>
      </c>
      <c r="AE351">
        <v>49.96</v>
      </c>
      <c r="AF351">
        <v>0</v>
      </c>
      <c r="AG351">
        <v>0</v>
      </c>
      <c r="AH351" t="s">
        <v>975</v>
      </c>
    </row>
    <row r="352" spans="1:35" x14ac:dyDescent="0.25">
      <c r="A352">
        <v>574</v>
      </c>
      <c r="B352" t="s">
        <v>976</v>
      </c>
      <c r="C352" t="s">
        <v>43</v>
      </c>
      <c r="D352">
        <v>26</v>
      </c>
      <c r="E352">
        <v>899</v>
      </c>
      <c r="F352">
        <v>25</v>
      </c>
      <c r="G352">
        <v>340</v>
      </c>
      <c r="H352">
        <v>0</v>
      </c>
      <c r="I352">
        <v>401</v>
      </c>
      <c r="J352">
        <v>0</v>
      </c>
      <c r="K352">
        <v>0</v>
      </c>
      <c r="L352">
        <v>0</v>
      </c>
      <c r="M352">
        <v>1</v>
      </c>
      <c r="N352">
        <v>469.1</v>
      </c>
      <c r="O352">
        <v>809.1</v>
      </c>
      <c r="P352">
        <v>4.6900000000000004</v>
      </c>
      <c r="Q352">
        <v>8.09</v>
      </c>
      <c r="R352" t="s">
        <v>37</v>
      </c>
      <c r="S352" t="s">
        <v>1277</v>
      </c>
      <c r="T352" s="1">
        <v>43397.621562499997</v>
      </c>
      <c r="U352">
        <v>1</v>
      </c>
      <c r="V352" t="s">
        <v>44</v>
      </c>
      <c r="W352">
        <v>9</v>
      </c>
      <c r="X352" t="s">
        <v>45</v>
      </c>
      <c r="Y352">
        <v>52</v>
      </c>
      <c r="Z352">
        <v>0</v>
      </c>
      <c r="AA352" t="s">
        <v>46</v>
      </c>
      <c r="AB352">
        <v>0</v>
      </c>
      <c r="AC352" t="s">
        <v>43</v>
      </c>
      <c r="AD352">
        <v>3.4</v>
      </c>
      <c r="AE352">
        <v>8.99</v>
      </c>
      <c r="AF352">
        <v>0</v>
      </c>
      <c r="AG352">
        <v>0</v>
      </c>
      <c r="AH352" t="s">
        <v>977</v>
      </c>
      <c r="AI352" t="s">
        <v>43</v>
      </c>
    </row>
    <row r="353" spans="1:35" x14ac:dyDescent="0.25">
      <c r="A353">
        <v>575</v>
      </c>
      <c r="B353" t="s">
        <v>978</v>
      </c>
      <c r="C353" t="s">
        <v>43</v>
      </c>
      <c r="D353">
        <v>10</v>
      </c>
      <c r="E353">
        <v>635</v>
      </c>
      <c r="F353">
        <v>5</v>
      </c>
      <c r="G353">
        <v>315</v>
      </c>
      <c r="H353">
        <v>0</v>
      </c>
      <c r="I353">
        <v>318</v>
      </c>
      <c r="J353">
        <v>0</v>
      </c>
      <c r="K353">
        <v>0</v>
      </c>
      <c r="L353">
        <v>0</v>
      </c>
      <c r="M353">
        <v>1</v>
      </c>
      <c r="N353">
        <v>256.5</v>
      </c>
      <c r="O353">
        <v>571.5</v>
      </c>
      <c r="P353">
        <v>2.57</v>
      </c>
      <c r="Q353">
        <v>5.72</v>
      </c>
      <c r="R353" t="s">
        <v>37</v>
      </c>
      <c r="S353" t="s">
        <v>1277</v>
      </c>
      <c r="T353" s="1">
        <v>43397.621562499997</v>
      </c>
      <c r="U353">
        <v>1</v>
      </c>
      <c r="V353" t="s">
        <v>44</v>
      </c>
      <c r="W353">
        <v>9</v>
      </c>
      <c r="X353" t="s">
        <v>45</v>
      </c>
      <c r="Y353">
        <v>52</v>
      </c>
      <c r="Z353">
        <v>0</v>
      </c>
      <c r="AA353" t="s">
        <v>46</v>
      </c>
      <c r="AB353">
        <v>0</v>
      </c>
      <c r="AC353" t="s">
        <v>43</v>
      </c>
      <c r="AD353">
        <v>3.15</v>
      </c>
      <c r="AE353">
        <v>6.35</v>
      </c>
      <c r="AF353">
        <v>0</v>
      </c>
      <c r="AG353">
        <v>0</v>
      </c>
      <c r="AH353" t="s">
        <v>979</v>
      </c>
      <c r="AI353" t="s">
        <v>43</v>
      </c>
    </row>
    <row r="354" spans="1:35" x14ac:dyDescent="0.25">
      <c r="A354">
        <v>576</v>
      </c>
      <c r="B354" t="s">
        <v>980</v>
      </c>
      <c r="C354" t="s">
        <v>43</v>
      </c>
      <c r="D354">
        <v>31</v>
      </c>
      <c r="E354">
        <v>949</v>
      </c>
      <c r="F354">
        <v>24</v>
      </c>
      <c r="G354">
        <v>406</v>
      </c>
      <c r="H354">
        <v>0</v>
      </c>
      <c r="I354">
        <v>413</v>
      </c>
      <c r="J354">
        <v>0</v>
      </c>
      <c r="K354">
        <v>0</v>
      </c>
      <c r="L354">
        <v>0</v>
      </c>
      <c r="M354">
        <v>1</v>
      </c>
      <c r="N354">
        <v>448.1</v>
      </c>
      <c r="O354">
        <v>854.1</v>
      </c>
      <c r="P354">
        <v>4.4800000000000004</v>
      </c>
      <c r="Q354">
        <v>8.5399999999999991</v>
      </c>
      <c r="R354" t="s">
        <v>37</v>
      </c>
      <c r="S354" t="s">
        <v>1277</v>
      </c>
      <c r="T354" s="1">
        <v>43397.621562499997</v>
      </c>
      <c r="U354">
        <v>1</v>
      </c>
      <c r="V354" t="s">
        <v>44</v>
      </c>
      <c r="W354">
        <v>9</v>
      </c>
      <c r="X354" t="s">
        <v>45</v>
      </c>
      <c r="Y354">
        <v>52</v>
      </c>
      <c r="Z354">
        <v>0</v>
      </c>
      <c r="AA354" t="s">
        <v>46</v>
      </c>
      <c r="AB354">
        <v>0</v>
      </c>
      <c r="AC354" t="s">
        <v>43</v>
      </c>
      <c r="AD354">
        <v>4.0599999999999996</v>
      </c>
      <c r="AE354">
        <v>9.49</v>
      </c>
      <c r="AF354">
        <v>0</v>
      </c>
      <c r="AG354">
        <v>0</v>
      </c>
      <c r="AH354" t="s">
        <v>981</v>
      </c>
      <c r="AI354" t="s">
        <v>43</v>
      </c>
    </row>
    <row r="355" spans="1:35" x14ac:dyDescent="0.25">
      <c r="A355">
        <v>577</v>
      </c>
      <c r="B355" t="s">
        <v>982</v>
      </c>
      <c r="C355" t="s">
        <v>43</v>
      </c>
      <c r="D355">
        <v>37</v>
      </c>
      <c r="E355">
        <v>1110</v>
      </c>
      <c r="F355">
        <v>6</v>
      </c>
      <c r="G355">
        <v>438</v>
      </c>
      <c r="H355">
        <v>0</v>
      </c>
      <c r="I355">
        <v>321</v>
      </c>
      <c r="J355">
        <v>0</v>
      </c>
      <c r="K355">
        <v>0</v>
      </c>
      <c r="L355">
        <v>0</v>
      </c>
      <c r="M355">
        <v>1</v>
      </c>
      <c r="N355">
        <v>561</v>
      </c>
      <c r="O355">
        <v>999</v>
      </c>
      <c r="P355">
        <v>5.61</v>
      </c>
      <c r="Q355">
        <v>9.99</v>
      </c>
      <c r="R355" t="s">
        <v>37</v>
      </c>
      <c r="S355" t="s">
        <v>1277</v>
      </c>
      <c r="T355" s="1">
        <v>43397.621562499997</v>
      </c>
      <c r="U355">
        <v>1</v>
      </c>
      <c r="V355" t="s">
        <v>44</v>
      </c>
      <c r="W355">
        <v>9</v>
      </c>
      <c r="X355" t="s">
        <v>45</v>
      </c>
      <c r="Y355">
        <v>52</v>
      </c>
      <c r="Z355">
        <v>0</v>
      </c>
      <c r="AA355" t="s">
        <v>46</v>
      </c>
      <c r="AB355">
        <v>0</v>
      </c>
      <c r="AC355" t="s">
        <v>43</v>
      </c>
      <c r="AD355">
        <v>4.38</v>
      </c>
      <c r="AE355">
        <v>11.1</v>
      </c>
      <c r="AF355">
        <v>0</v>
      </c>
      <c r="AG355">
        <v>0</v>
      </c>
      <c r="AH355" t="s">
        <v>983</v>
      </c>
      <c r="AI355" t="s">
        <v>43</v>
      </c>
    </row>
    <row r="356" spans="1:35" x14ac:dyDescent="0.25">
      <c r="A356">
        <v>578</v>
      </c>
      <c r="B356" t="s">
        <v>984</v>
      </c>
      <c r="C356" t="s">
        <v>43</v>
      </c>
      <c r="D356">
        <v>9</v>
      </c>
      <c r="E356">
        <v>4990</v>
      </c>
      <c r="F356">
        <v>12</v>
      </c>
      <c r="G356">
        <v>304</v>
      </c>
      <c r="H356">
        <v>0</v>
      </c>
      <c r="I356">
        <v>411</v>
      </c>
      <c r="J356">
        <v>0</v>
      </c>
      <c r="K356">
        <v>0</v>
      </c>
      <c r="L356">
        <v>0</v>
      </c>
      <c r="M356">
        <v>1</v>
      </c>
      <c r="N356">
        <v>4187</v>
      </c>
      <c r="O356">
        <v>4491</v>
      </c>
      <c r="P356">
        <v>41.87</v>
      </c>
      <c r="Q356">
        <v>44.91</v>
      </c>
      <c r="R356" t="s">
        <v>37</v>
      </c>
      <c r="S356" t="s">
        <v>1277</v>
      </c>
      <c r="T356" s="1">
        <v>43397.621562499997</v>
      </c>
      <c r="U356">
        <v>2</v>
      </c>
      <c r="V356" t="s">
        <v>47</v>
      </c>
      <c r="W356">
        <v>9</v>
      </c>
      <c r="X356" t="s">
        <v>45</v>
      </c>
      <c r="Y356">
        <v>52</v>
      </c>
      <c r="Z356">
        <v>0</v>
      </c>
      <c r="AA356" t="s">
        <v>46</v>
      </c>
      <c r="AB356">
        <v>0</v>
      </c>
      <c r="AC356" t="s">
        <v>43</v>
      </c>
      <c r="AD356">
        <v>3.04</v>
      </c>
      <c r="AE356">
        <v>49.9</v>
      </c>
      <c r="AF356">
        <v>0</v>
      </c>
      <c r="AG356">
        <v>0</v>
      </c>
      <c r="AH356" t="s">
        <v>985</v>
      </c>
      <c r="AI356" t="s">
        <v>43</v>
      </c>
    </row>
    <row r="357" spans="1:35" x14ac:dyDescent="0.25">
      <c r="A357">
        <v>579</v>
      </c>
      <c r="B357" t="s">
        <v>986</v>
      </c>
      <c r="C357" t="s">
        <v>43</v>
      </c>
      <c r="D357">
        <v>29</v>
      </c>
      <c r="E357">
        <v>1380</v>
      </c>
      <c r="F357">
        <v>4</v>
      </c>
      <c r="G357">
        <v>600</v>
      </c>
      <c r="H357">
        <v>0</v>
      </c>
      <c r="I357">
        <v>419</v>
      </c>
      <c r="J357">
        <v>0</v>
      </c>
      <c r="K357">
        <v>0</v>
      </c>
      <c r="L357">
        <v>0</v>
      </c>
      <c r="M357">
        <v>1</v>
      </c>
      <c r="N357">
        <v>642</v>
      </c>
      <c r="O357">
        <v>1242</v>
      </c>
      <c r="P357">
        <v>6.42</v>
      </c>
      <c r="Q357">
        <v>12.42</v>
      </c>
      <c r="R357" t="s">
        <v>37</v>
      </c>
      <c r="S357" t="s">
        <v>1277</v>
      </c>
      <c r="T357" s="1">
        <v>43397.621562499997</v>
      </c>
      <c r="U357">
        <v>2</v>
      </c>
      <c r="V357" t="s">
        <v>47</v>
      </c>
      <c r="W357">
        <v>9</v>
      </c>
      <c r="X357" t="s">
        <v>45</v>
      </c>
      <c r="Y357">
        <v>52</v>
      </c>
      <c r="Z357">
        <v>0</v>
      </c>
      <c r="AA357" t="s">
        <v>46</v>
      </c>
      <c r="AB357">
        <v>0</v>
      </c>
      <c r="AC357" t="s">
        <v>43</v>
      </c>
      <c r="AD357">
        <v>6</v>
      </c>
      <c r="AE357">
        <v>13.8</v>
      </c>
      <c r="AF357">
        <v>0</v>
      </c>
      <c r="AG357">
        <v>0</v>
      </c>
      <c r="AH357" t="s">
        <v>987</v>
      </c>
      <c r="AI357" t="s">
        <v>43</v>
      </c>
    </row>
    <row r="358" spans="1:35" x14ac:dyDescent="0.25">
      <c r="A358">
        <v>580</v>
      </c>
      <c r="B358" t="s">
        <v>988</v>
      </c>
      <c r="C358" t="s">
        <v>43</v>
      </c>
      <c r="D358">
        <v>10</v>
      </c>
      <c r="E358">
        <v>1600</v>
      </c>
      <c r="F358">
        <v>6</v>
      </c>
      <c r="G358">
        <v>1000</v>
      </c>
      <c r="H358">
        <v>0</v>
      </c>
      <c r="I358">
        <v>417</v>
      </c>
      <c r="J358">
        <v>0</v>
      </c>
      <c r="K358">
        <v>0</v>
      </c>
      <c r="L358">
        <v>0</v>
      </c>
      <c r="M358">
        <v>1</v>
      </c>
      <c r="N358">
        <v>440</v>
      </c>
      <c r="O358">
        <v>1440</v>
      </c>
      <c r="P358">
        <v>4.4000000000000004</v>
      </c>
      <c r="Q358">
        <v>14.4</v>
      </c>
      <c r="R358" t="s">
        <v>37</v>
      </c>
      <c r="S358" t="s">
        <v>1277</v>
      </c>
      <c r="T358" s="1">
        <v>43397.621562499997</v>
      </c>
      <c r="U358">
        <v>2</v>
      </c>
      <c r="V358" t="s">
        <v>47</v>
      </c>
      <c r="W358">
        <v>9</v>
      </c>
      <c r="X358" t="s">
        <v>45</v>
      </c>
      <c r="Y358">
        <v>52</v>
      </c>
      <c r="Z358">
        <v>0</v>
      </c>
      <c r="AA358" t="s">
        <v>46</v>
      </c>
      <c r="AB358">
        <v>0</v>
      </c>
      <c r="AC358" t="s">
        <v>43</v>
      </c>
      <c r="AD358">
        <v>10</v>
      </c>
      <c r="AE358">
        <v>16</v>
      </c>
      <c r="AF358">
        <v>0</v>
      </c>
      <c r="AG358">
        <v>0</v>
      </c>
      <c r="AH358" t="s">
        <v>989</v>
      </c>
      <c r="AI358" t="s">
        <v>43</v>
      </c>
    </row>
    <row r="359" spans="1:35" x14ac:dyDescent="0.25">
      <c r="A359">
        <v>581</v>
      </c>
      <c r="B359" t="s">
        <v>990</v>
      </c>
      <c r="C359" t="s">
        <v>48</v>
      </c>
      <c r="D359">
        <v>11</v>
      </c>
      <c r="E359">
        <v>2207</v>
      </c>
      <c r="F359">
        <v>15</v>
      </c>
      <c r="G359">
        <v>1205</v>
      </c>
      <c r="H359">
        <v>0</v>
      </c>
      <c r="I359">
        <v>377</v>
      </c>
      <c r="J359">
        <v>0</v>
      </c>
      <c r="K359">
        <v>0</v>
      </c>
      <c r="L359">
        <v>0</v>
      </c>
      <c r="M359">
        <v>1</v>
      </c>
      <c r="N359">
        <v>781.3</v>
      </c>
      <c r="O359">
        <v>1986.3</v>
      </c>
      <c r="P359">
        <v>7.81</v>
      </c>
      <c r="Q359">
        <v>19.86</v>
      </c>
      <c r="R359" t="s">
        <v>37</v>
      </c>
      <c r="S359" t="s">
        <v>1277</v>
      </c>
      <c r="T359" s="1">
        <v>43397.621562499997</v>
      </c>
      <c r="U359">
        <v>2</v>
      </c>
      <c r="V359" t="s">
        <v>47</v>
      </c>
      <c r="W359">
        <v>7</v>
      </c>
      <c r="X359" t="s">
        <v>49</v>
      </c>
      <c r="Y359">
        <v>10</v>
      </c>
      <c r="Z359">
        <v>0</v>
      </c>
      <c r="AA359" t="s">
        <v>50</v>
      </c>
      <c r="AB359">
        <v>0</v>
      </c>
      <c r="AC359" t="s">
        <v>43</v>
      </c>
      <c r="AD359">
        <v>12.05</v>
      </c>
      <c r="AE359">
        <v>22.07</v>
      </c>
      <c r="AF359">
        <v>0</v>
      </c>
      <c r="AG359">
        <v>0</v>
      </c>
      <c r="AH359" t="s">
        <v>991</v>
      </c>
      <c r="AI359" t="s">
        <v>43</v>
      </c>
    </row>
    <row r="360" spans="1:35" x14ac:dyDescent="0.25">
      <c r="A360">
        <v>582</v>
      </c>
      <c r="B360" t="s">
        <v>992</v>
      </c>
      <c r="C360" t="s">
        <v>43</v>
      </c>
      <c r="D360">
        <v>6</v>
      </c>
      <c r="E360">
        <v>1184</v>
      </c>
      <c r="F360">
        <v>4</v>
      </c>
      <c r="G360">
        <v>682</v>
      </c>
      <c r="H360">
        <v>0</v>
      </c>
      <c r="I360">
        <v>299</v>
      </c>
      <c r="J360">
        <v>0</v>
      </c>
      <c r="K360">
        <v>0</v>
      </c>
      <c r="L360">
        <v>0</v>
      </c>
      <c r="M360">
        <v>1</v>
      </c>
      <c r="N360">
        <v>383.6</v>
      </c>
      <c r="O360">
        <v>1065.5999999999999</v>
      </c>
      <c r="P360">
        <v>3.84</v>
      </c>
      <c r="Q360">
        <v>10.66</v>
      </c>
      <c r="R360" t="s">
        <v>37</v>
      </c>
      <c r="S360" t="s">
        <v>1277</v>
      </c>
      <c r="T360" s="1">
        <v>43397.621562499997</v>
      </c>
      <c r="U360">
        <v>2</v>
      </c>
      <c r="V360" t="s">
        <v>47</v>
      </c>
      <c r="W360">
        <v>9</v>
      </c>
      <c r="X360" t="s">
        <v>45</v>
      </c>
      <c r="Y360">
        <v>52</v>
      </c>
      <c r="Z360">
        <v>0</v>
      </c>
      <c r="AA360" t="s">
        <v>46</v>
      </c>
      <c r="AB360">
        <v>0</v>
      </c>
      <c r="AC360" t="s">
        <v>43</v>
      </c>
      <c r="AD360">
        <v>6.82</v>
      </c>
      <c r="AE360">
        <v>11.84</v>
      </c>
      <c r="AF360">
        <v>0</v>
      </c>
      <c r="AG360">
        <v>0</v>
      </c>
      <c r="AH360" t="s">
        <v>993</v>
      </c>
      <c r="AI360" t="s">
        <v>43</v>
      </c>
    </row>
    <row r="361" spans="1:35" x14ac:dyDescent="0.25">
      <c r="A361">
        <v>583</v>
      </c>
      <c r="B361" t="s">
        <v>994</v>
      </c>
      <c r="C361" t="s">
        <v>43</v>
      </c>
      <c r="D361">
        <v>10</v>
      </c>
      <c r="E361">
        <v>3000</v>
      </c>
      <c r="F361">
        <v>36</v>
      </c>
      <c r="G361">
        <v>301</v>
      </c>
      <c r="H361">
        <v>0</v>
      </c>
      <c r="I361">
        <v>400</v>
      </c>
      <c r="J361">
        <v>0</v>
      </c>
      <c r="K361">
        <v>0</v>
      </c>
      <c r="L361">
        <v>0</v>
      </c>
      <c r="M361">
        <v>1</v>
      </c>
      <c r="N361">
        <v>2399</v>
      </c>
      <c r="O361">
        <v>2700</v>
      </c>
      <c r="P361">
        <v>23.99</v>
      </c>
      <c r="Q361">
        <v>27</v>
      </c>
      <c r="R361" t="s">
        <v>37</v>
      </c>
      <c r="S361" t="s">
        <v>1277</v>
      </c>
      <c r="T361" s="1">
        <v>43397.621562499997</v>
      </c>
      <c r="U361">
        <v>2</v>
      </c>
      <c r="V361" t="s">
        <v>47</v>
      </c>
      <c r="W361">
        <v>9</v>
      </c>
      <c r="X361" t="s">
        <v>45</v>
      </c>
      <c r="Y361">
        <v>52</v>
      </c>
      <c r="Z361">
        <v>0</v>
      </c>
      <c r="AA361" t="s">
        <v>46</v>
      </c>
      <c r="AB361">
        <v>0</v>
      </c>
      <c r="AC361" t="s">
        <v>43</v>
      </c>
      <c r="AD361">
        <v>3.01</v>
      </c>
      <c r="AE361">
        <v>30</v>
      </c>
      <c r="AF361">
        <v>0</v>
      </c>
      <c r="AG361">
        <v>0</v>
      </c>
      <c r="AH361" t="s">
        <v>995</v>
      </c>
      <c r="AI361" t="s">
        <v>43</v>
      </c>
    </row>
    <row r="362" spans="1:35" x14ac:dyDescent="0.25">
      <c r="A362">
        <v>584</v>
      </c>
      <c r="B362" t="s">
        <v>996</v>
      </c>
      <c r="C362" t="s">
        <v>48</v>
      </c>
      <c r="D362">
        <v>9</v>
      </c>
      <c r="E362">
        <v>74496</v>
      </c>
      <c r="F362">
        <v>6</v>
      </c>
      <c r="G362">
        <v>49314</v>
      </c>
      <c r="H362">
        <v>0</v>
      </c>
      <c r="I362">
        <v>210</v>
      </c>
      <c r="J362">
        <v>0</v>
      </c>
      <c r="K362">
        <v>0</v>
      </c>
      <c r="L362">
        <v>0</v>
      </c>
      <c r="M362">
        <v>1</v>
      </c>
      <c r="N362">
        <v>17732.400000000001</v>
      </c>
      <c r="O362">
        <v>67046.399999999994</v>
      </c>
      <c r="P362">
        <v>177.32</v>
      </c>
      <c r="Q362">
        <v>670.46</v>
      </c>
      <c r="R362" t="s">
        <v>37</v>
      </c>
      <c r="S362" t="s">
        <v>1277</v>
      </c>
      <c r="T362" s="1">
        <v>43397.621562499997</v>
      </c>
      <c r="U362">
        <v>4</v>
      </c>
      <c r="V362" t="s">
        <v>55</v>
      </c>
      <c r="W362">
        <v>7</v>
      </c>
      <c r="X362" t="s">
        <v>49</v>
      </c>
      <c r="Y362">
        <v>10</v>
      </c>
      <c r="Z362">
        <v>0</v>
      </c>
      <c r="AA362" t="s">
        <v>50</v>
      </c>
      <c r="AB362">
        <v>0</v>
      </c>
      <c r="AC362" t="s">
        <v>43</v>
      </c>
      <c r="AD362">
        <v>493.14</v>
      </c>
      <c r="AE362">
        <v>744.96</v>
      </c>
      <c r="AF362">
        <v>0</v>
      </c>
      <c r="AG362">
        <v>0</v>
      </c>
      <c r="AH362" t="s">
        <v>997</v>
      </c>
      <c r="AI362" t="s">
        <v>43</v>
      </c>
    </row>
    <row r="363" spans="1:35" x14ac:dyDescent="0.25">
      <c r="A363">
        <v>585</v>
      </c>
      <c r="B363" t="s">
        <v>998</v>
      </c>
      <c r="C363" t="s">
        <v>43</v>
      </c>
      <c r="D363">
        <v>4</v>
      </c>
      <c r="E363">
        <v>14997</v>
      </c>
      <c r="F363">
        <v>3</v>
      </c>
      <c r="G363">
        <v>9525</v>
      </c>
      <c r="H363">
        <v>0</v>
      </c>
      <c r="I363">
        <v>402</v>
      </c>
      <c r="J363">
        <v>0</v>
      </c>
      <c r="K363">
        <v>0</v>
      </c>
      <c r="L363">
        <v>0</v>
      </c>
      <c r="M363">
        <v>1</v>
      </c>
      <c r="N363">
        <v>3972.3</v>
      </c>
      <c r="O363">
        <v>13497.3</v>
      </c>
      <c r="P363">
        <v>39.72</v>
      </c>
      <c r="Q363">
        <v>134.97</v>
      </c>
      <c r="R363" t="s">
        <v>37</v>
      </c>
      <c r="S363" t="s">
        <v>1277</v>
      </c>
      <c r="T363" s="1">
        <v>43397.621562499997</v>
      </c>
      <c r="U363">
        <v>3</v>
      </c>
      <c r="V363" t="s">
        <v>38</v>
      </c>
      <c r="W363">
        <v>9</v>
      </c>
      <c r="X363" t="s">
        <v>45</v>
      </c>
      <c r="Y363">
        <v>52</v>
      </c>
      <c r="Z363">
        <v>0</v>
      </c>
      <c r="AA363" t="s">
        <v>46</v>
      </c>
      <c r="AB363">
        <v>0</v>
      </c>
      <c r="AC363" t="s">
        <v>43</v>
      </c>
      <c r="AD363">
        <v>95.25</v>
      </c>
      <c r="AE363">
        <v>149.97</v>
      </c>
      <c r="AF363">
        <v>0</v>
      </c>
      <c r="AG363">
        <v>0</v>
      </c>
      <c r="AH363" t="s">
        <v>999</v>
      </c>
      <c r="AI363" t="s">
        <v>43</v>
      </c>
    </row>
    <row r="364" spans="1:35" x14ac:dyDescent="0.25">
      <c r="A364">
        <v>586</v>
      </c>
      <c r="B364" t="s">
        <v>1000</v>
      </c>
      <c r="C364" t="s">
        <v>43</v>
      </c>
      <c r="D364">
        <v>7</v>
      </c>
      <c r="E364">
        <v>3778</v>
      </c>
      <c r="F364">
        <v>1</v>
      </c>
      <c r="G364">
        <v>2424</v>
      </c>
      <c r="H364">
        <v>0</v>
      </c>
      <c r="I364">
        <v>434</v>
      </c>
      <c r="J364">
        <v>0</v>
      </c>
      <c r="K364">
        <v>0</v>
      </c>
      <c r="L364">
        <v>0</v>
      </c>
      <c r="M364">
        <v>1</v>
      </c>
      <c r="N364">
        <v>976.2</v>
      </c>
      <c r="O364">
        <v>3400.2</v>
      </c>
      <c r="P364">
        <v>9.76</v>
      </c>
      <c r="Q364">
        <v>34</v>
      </c>
      <c r="R364" t="s">
        <v>37</v>
      </c>
      <c r="S364" t="s">
        <v>1277</v>
      </c>
      <c r="T364" s="1">
        <v>43397.621562499997</v>
      </c>
      <c r="U364">
        <v>2</v>
      </c>
      <c r="V364" t="s">
        <v>47</v>
      </c>
      <c r="W364">
        <v>9</v>
      </c>
      <c r="X364" t="s">
        <v>45</v>
      </c>
      <c r="Y364">
        <v>52</v>
      </c>
      <c r="Z364">
        <v>0</v>
      </c>
      <c r="AA364" t="s">
        <v>46</v>
      </c>
      <c r="AB364">
        <v>0</v>
      </c>
      <c r="AC364" t="s">
        <v>43</v>
      </c>
      <c r="AD364">
        <v>24.24</v>
      </c>
      <c r="AE364">
        <v>37.78</v>
      </c>
      <c r="AF364">
        <v>0</v>
      </c>
      <c r="AG364">
        <v>0</v>
      </c>
      <c r="AH364" t="s">
        <v>1001</v>
      </c>
      <c r="AI364" t="s">
        <v>43</v>
      </c>
    </row>
    <row r="365" spans="1:35" x14ac:dyDescent="0.25">
      <c r="A365">
        <v>587</v>
      </c>
      <c r="B365" t="s">
        <v>1002</v>
      </c>
      <c r="C365" t="s">
        <v>43</v>
      </c>
      <c r="D365">
        <v>8</v>
      </c>
      <c r="E365">
        <v>5809</v>
      </c>
      <c r="F365">
        <v>5</v>
      </c>
      <c r="G365">
        <v>4212</v>
      </c>
      <c r="H365">
        <v>0</v>
      </c>
      <c r="I365">
        <v>418</v>
      </c>
      <c r="J365">
        <v>0</v>
      </c>
      <c r="K365">
        <v>0</v>
      </c>
      <c r="L365">
        <v>0</v>
      </c>
      <c r="M365">
        <v>1</v>
      </c>
      <c r="N365">
        <v>1016.1</v>
      </c>
      <c r="O365">
        <v>5228.1000000000004</v>
      </c>
      <c r="P365">
        <v>10.16</v>
      </c>
      <c r="Q365">
        <v>52.28</v>
      </c>
      <c r="R365" t="s">
        <v>37</v>
      </c>
      <c r="S365" t="s">
        <v>1277</v>
      </c>
      <c r="T365" s="1">
        <v>43397.621562499997</v>
      </c>
      <c r="U365">
        <v>3</v>
      </c>
      <c r="V365" t="s">
        <v>38</v>
      </c>
      <c r="W365">
        <v>9</v>
      </c>
      <c r="X365" t="s">
        <v>45</v>
      </c>
      <c r="Y365">
        <v>52</v>
      </c>
      <c r="Z365">
        <v>0</v>
      </c>
      <c r="AA365" t="s">
        <v>46</v>
      </c>
      <c r="AB365">
        <v>0</v>
      </c>
      <c r="AC365" t="s">
        <v>43</v>
      </c>
      <c r="AD365">
        <v>42.12</v>
      </c>
      <c r="AE365">
        <v>58.09</v>
      </c>
      <c r="AF365">
        <v>0</v>
      </c>
      <c r="AG365">
        <v>0</v>
      </c>
      <c r="AH365" t="s">
        <v>1003</v>
      </c>
      <c r="AI365" t="s">
        <v>43</v>
      </c>
    </row>
    <row r="366" spans="1:35" x14ac:dyDescent="0.25">
      <c r="A366">
        <v>588</v>
      </c>
      <c r="B366" t="s">
        <v>1004</v>
      </c>
      <c r="C366" t="s">
        <v>48</v>
      </c>
      <c r="D366">
        <v>5</v>
      </c>
      <c r="E366">
        <v>15956</v>
      </c>
      <c r="F366">
        <v>2</v>
      </c>
      <c r="G366">
        <v>10705</v>
      </c>
      <c r="H366">
        <v>0</v>
      </c>
      <c r="I366">
        <v>295</v>
      </c>
      <c r="J366">
        <v>0</v>
      </c>
      <c r="K366">
        <v>0</v>
      </c>
      <c r="L366">
        <v>0</v>
      </c>
      <c r="M366">
        <v>1</v>
      </c>
      <c r="N366">
        <v>3655.4</v>
      </c>
      <c r="O366">
        <v>14360.4</v>
      </c>
      <c r="P366">
        <v>36.549999999999997</v>
      </c>
      <c r="Q366">
        <v>143.6</v>
      </c>
      <c r="R366" t="s">
        <v>37</v>
      </c>
      <c r="S366" t="s">
        <v>1277</v>
      </c>
      <c r="T366" s="1">
        <v>43397.621562499997</v>
      </c>
      <c r="U366">
        <v>3</v>
      </c>
      <c r="V366" t="s">
        <v>38</v>
      </c>
      <c r="W366">
        <v>7</v>
      </c>
      <c r="X366" t="s">
        <v>49</v>
      </c>
      <c r="Y366">
        <v>10</v>
      </c>
      <c r="Z366">
        <v>0</v>
      </c>
      <c r="AA366" t="s">
        <v>50</v>
      </c>
      <c r="AB366">
        <v>0</v>
      </c>
      <c r="AC366" t="s">
        <v>43</v>
      </c>
      <c r="AD366">
        <v>107.05</v>
      </c>
      <c r="AE366">
        <v>159.56</v>
      </c>
      <c r="AF366">
        <v>0</v>
      </c>
      <c r="AG366">
        <v>0</v>
      </c>
      <c r="AH366" t="s">
        <v>1005</v>
      </c>
      <c r="AI366" t="s">
        <v>43</v>
      </c>
    </row>
    <row r="367" spans="1:35" x14ac:dyDescent="0.25">
      <c r="A367">
        <v>589</v>
      </c>
      <c r="B367" t="s">
        <v>1006</v>
      </c>
      <c r="C367" t="s">
        <v>1007</v>
      </c>
      <c r="D367">
        <v>8</v>
      </c>
      <c r="E367">
        <v>46999</v>
      </c>
      <c r="F367">
        <v>5</v>
      </c>
      <c r="G367">
        <v>34751</v>
      </c>
      <c r="H367">
        <v>0</v>
      </c>
      <c r="I367">
        <v>386</v>
      </c>
      <c r="J367">
        <v>0</v>
      </c>
      <c r="K367">
        <v>0</v>
      </c>
      <c r="L367">
        <v>0</v>
      </c>
      <c r="M367">
        <v>1</v>
      </c>
      <c r="N367">
        <v>7548.1</v>
      </c>
      <c r="O367">
        <v>42299.1</v>
      </c>
      <c r="P367">
        <v>75.48</v>
      </c>
      <c r="Q367">
        <v>422.99</v>
      </c>
      <c r="R367" t="s">
        <v>37</v>
      </c>
      <c r="S367" t="s">
        <v>1277</v>
      </c>
      <c r="T367" s="1">
        <v>43397.621562499997</v>
      </c>
      <c r="U367">
        <v>4</v>
      </c>
      <c r="V367" t="s">
        <v>55</v>
      </c>
      <c r="W367">
        <v>6</v>
      </c>
      <c r="X367" t="s">
        <v>350</v>
      </c>
      <c r="Y367">
        <v>2</v>
      </c>
      <c r="Z367">
        <v>0</v>
      </c>
      <c r="AA367" t="s">
        <v>351</v>
      </c>
      <c r="AB367">
        <v>0</v>
      </c>
      <c r="AC367" t="s">
        <v>43</v>
      </c>
      <c r="AD367">
        <v>347.51</v>
      </c>
      <c r="AE367">
        <v>469.99</v>
      </c>
      <c r="AF367">
        <v>0</v>
      </c>
      <c r="AG367">
        <v>0</v>
      </c>
      <c r="AH367" t="s">
        <v>1008</v>
      </c>
    </row>
    <row r="368" spans="1:35" x14ac:dyDescent="0.25">
      <c r="A368">
        <v>590</v>
      </c>
      <c r="B368" t="s">
        <v>1009</v>
      </c>
      <c r="C368" t="s">
        <v>43</v>
      </c>
      <c r="D368">
        <v>13</v>
      </c>
      <c r="E368">
        <v>14681</v>
      </c>
      <c r="F368">
        <v>8</v>
      </c>
      <c r="G368">
        <v>6711</v>
      </c>
      <c r="H368">
        <v>0</v>
      </c>
      <c r="I368">
        <v>408</v>
      </c>
      <c r="J368">
        <v>0</v>
      </c>
      <c r="K368">
        <v>0</v>
      </c>
      <c r="L368">
        <v>0</v>
      </c>
      <c r="M368">
        <v>1</v>
      </c>
      <c r="N368">
        <v>6501.9</v>
      </c>
      <c r="O368">
        <v>13212.9</v>
      </c>
      <c r="P368">
        <v>65.02</v>
      </c>
      <c r="Q368">
        <v>132.13</v>
      </c>
      <c r="R368" t="s">
        <v>37</v>
      </c>
      <c r="S368" t="s">
        <v>1277</v>
      </c>
      <c r="T368" s="1">
        <v>43397.621562499997</v>
      </c>
      <c r="U368">
        <v>3</v>
      </c>
      <c r="V368" t="s">
        <v>38</v>
      </c>
      <c r="W368">
        <v>9</v>
      </c>
      <c r="X368" t="s">
        <v>45</v>
      </c>
      <c r="Y368">
        <v>52</v>
      </c>
      <c r="Z368">
        <v>0</v>
      </c>
      <c r="AA368" t="s">
        <v>46</v>
      </c>
      <c r="AB368">
        <v>0</v>
      </c>
      <c r="AC368" t="s">
        <v>43</v>
      </c>
      <c r="AD368">
        <v>67.11</v>
      </c>
      <c r="AE368">
        <v>146.81</v>
      </c>
      <c r="AF368">
        <v>0</v>
      </c>
      <c r="AG368">
        <v>0</v>
      </c>
      <c r="AH368" t="s">
        <v>1010</v>
      </c>
      <c r="AI368" t="s">
        <v>43</v>
      </c>
    </row>
    <row r="369" spans="1:35" x14ac:dyDescent="0.25">
      <c r="A369">
        <v>591</v>
      </c>
      <c r="B369" t="s">
        <v>1011</v>
      </c>
      <c r="C369" t="s">
        <v>48</v>
      </c>
      <c r="D369">
        <v>7</v>
      </c>
      <c r="E369">
        <v>8400</v>
      </c>
      <c r="F369">
        <v>7</v>
      </c>
      <c r="G369">
        <v>6007</v>
      </c>
      <c r="H369">
        <v>0</v>
      </c>
      <c r="I369">
        <v>394</v>
      </c>
      <c r="J369">
        <v>0</v>
      </c>
      <c r="K369">
        <v>0</v>
      </c>
      <c r="L369">
        <v>0</v>
      </c>
      <c r="M369">
        <v>1</v>
      </c>
      <c r="N369">
        <v>1553</v>
      </c>
      <c r="O369">
        <v>7560</v>
      </c>
      <c r="P369">
        <v>15.53</v>
      </c>
      <c r="Q369">
        <v>75.599999999999994</v>
      </c>
      <c r="R369" t="s">
        <v>37</v>
      </c>
      <c r="S369" t="s">
        <v>1277</v>
      </c>
      <c r="T369" s="1">
        <v>43397.621562499997</v>
      </c>
      <c r="U369">
        <v>3</v>
      </c>
      <c r="V369" t="s">
        <v>38</v>
      </c>
      <c r="W369">
        <v>7</v>
      </c>
      <c r="X369" t="s">
        <v>49</v>
      </c>
      <c r="Y369">
        <v>10</v>
      </c>
      <c r="Z369">
        <v>0</v>
      </c>
      <c r="AA369" t="s">
        <v>50</v>
      </c>
      <c r="AB369">
        <v>0</v>
      </c>
      <c r="AC369" t="s">
        <v>43</v>
      </c>
      <c r="AD369">
        <v>60.07</v>
      </c>
      <c r="AE369">
        <v>84</v>
      </c>
      <c r="AF369">
        <v>0</v>
      </c>
      <c r="AG369">
        <v>0</v>
      </c>
      <c r="AH369" t="s">
        <v>1012</v>
      </c>
      <c r="AI369" t="s">
        <v>43</v>
      </c>
    </row>
    <row r="370" spans="1:35" x14ac:dyDescent="0.25">
      <c r="A370">
        <v>592</v>
      </c>
      <c r="B370" s="2" t="s">
        <v>1013</v>
      </c>
      <c r="C370" t="s">
        <v>43</v>
      </c>
      <c r="D370">
        <v>35</v>
      </c>
      <c r="E370">
        <v>21799</v>
      </c>
      <c r="F370">
        <v>11</v>
      </c>
      <c r="G370">
        <v>18745</v>
      </c>
      <c r="H370">
        <v>0</v>
      </c>
      <c r="I370">
        <v>277</v>
      </c>
      <c r="J370">
        <v>0</v>
      </c>
      <c r="K370">
        <v>0</v>
      </c>
      <c r="L370">
        <v>0</v>
      </c>
      <c r="M370">
        <v>1</v>
      </c>
      <c r="N370">
        <v>874.1</v>
      </c>
      <c r="O370">
        <v>19619.099999999999</v>
      </c>
      <c r="P370">
        <v>8.74</v>
      </c>
      <c r="Q370">
        <v>196.19</v>
      </c>
      <c r="R370" t="s">
        <v>37</v>
      </c>
      <c r="S370" t="s">
        <v>1277</v>
      </c>
      <c r="T370" s="1">
        <v>43397.621562499997</v>
      </c>
      <c r="U370">
        <v>4</v>
      </c>
      <c r="V370" t="s">
        <v>55</v>
      </c>
      <c r="W370">
        <v>6</v>
      </c>
      <c r="X370" t="s">
        <v>350</v>
      </c>
      <c r="Y370">
        <v>2</v>
      </c>
      <c r="Z370">
        <v>0</v>
      </c>
      <c r="AA370" t="s">
        <v>351</v>
      </c>
      <c r="AB370">
        <v>0</v>
      </c>
      <c r="AC370" t="s">
        <v>43</v>
      </c>
      <c r="AD370">
        <v>187.45</v>
      </c>
      <c r="AE370">
        <v>217.99</v>
      </c>
      <c r="AF370">
        <v>0</v>
      </c>
      <c r="AG370">
        <v>0</v>
      </c>
      <c r="AH370" t="s">
        <v>1014</v>
      </c>
      <c r="AI370" t="s">
        <v>43</v>
      </c>
    </row>
    <row r="371" spans="1:35" x14ac:dyDescent="0.25">
      <c r="A371">
        <v>593</v>
      </c>
      <c r="B371" t="s">
        <v>1015</v>
      </c>
      <c r="C371" t="s">
        <v>48</v>
      </c>
      <c r="D371">
        <v>14</v>
      </c>
      <c r="E371">
        <v>4141</v>
      </c>
      <c r="F371">
        <v>4</v>
      </c>
      <c r="G371">
        <v>3102</v>
      </c>
      <c r="H371">
        <v>0</v>
      </c>
      <c r="I371">
        <v>344</v>
      </c>
      <c r="J371">
        <v>0</v>
      </c>
      <c r="K371">
        <v>0</v>
      </c>
      <c r="L371">
        <v>0</v>
      </c>
      <c r="M371">
        <v>1</v>
      </c>
      <c r="N371">
        <v>624.9</v>
      </c>
      <c r="O371">
        <v>3726.9</v>
      </c>
      <c r="P371">
        <v>6.25</v>
      </c>
      <c r="Q371">
        <v>37.270000000000003</v>
      </c>
      <c r="R371" t="s">
        <v>37</v>
      </c>
      <c r="S371" t="s">
        <v>1277</v>
      </c>
      <c r="T371" s="1">
        <v>43397.621562499997</v>
      </c>
      <c r="U371">
        <v>5</v>
      </c>
      <c r="V371" t="s">
        <v>140</v>
      </c>
      <c r="W371">
        <v>7</v>
      </c>
      <c r="X371" t="s">
        <v>49</v>
      </c>
      <c r="Y371">
        <v>10</v>
      </c>
      <c r="Z371">
        <v>0</v>
      </c>
      <c r="AA371" t="s">
        <v>50</v>
      </c>
      <c r="AB371">
        <v>0</v>
      </c>
      <c r="AC371" t="s">
        <v>43</v>
      </c>
      <c r="AD371">
        <v>31.02</v>
      </c>
      <c r="AE371">
        <v>41.41</v>
      </c>
      <c r="AF371">
        <v>0</v>
      </c>
      <c r="AG371">
        <v>0</v>
      </c>
      <c r="AH371" t="s">
        <v>1016</v>
      </c>
      <c r="AI371" t="s">
        <v>43</v>
      </c>
    </row>
    <row r="372" spans="1:35" x14ac:dyDescent="0.25">
      <c r="A372">
        <v>594</v>
      </c>
      <c r="B372" t="s">
        <v>1017</v>
      </c>
      <c r="C372" t="s">
        <v>1018</v>
      </c>
      <c r="D372">
        <v>22</v>
      </c>
      <c r="E372">
        <v>33800</v>
      </c>
      <c r="F372">
        <v>16</v>
      </c>
      <c r="G372">
        <v>30500</v>
      </c>
      <c r="H372">
        <v>0</v>
      </c>
      <c r="I372">
        <v>97</v>
      </c>
      <c r="J372">
        <v>0</v>
      </c>
      <c r="K372">
        <v>31548</v>
      </c>
      <c r="L372">
        <v>28936</v>
      </c>
      <c r="M372">
        <v>1</v>
      </c>
      <c r="N372">
        <v>-80</v>
      </c>
      <c r="O372">
        <v>1484</v>
      </c>
      <c r="P372">
        <v>-0.8</v>
      </c>
      <c r="Q372">
        <v>14.84</v>
      </c>
      <c r="R372" t="s">
        <v>37</v>
      </c>
      <c r="S372" t="s">
        <v>1277</v>
      </c>
      <c r="T372" s="1">
        <v>43397.621562499997</v>
      </c>
      <c r="U372">
        <v>3</v>
      </c>
      <c r="V372" t="s">
        <v>38</v>
      </c>
      <c r="W372">
        <v>2</v>
      </c>
      <c r="X372" t="s">
        <v>39</v>
      </c>
      <c r="Y372">
        <v>53</v>
      </c>
      <c r="Z372">
        <v>164</v>
      </c>
      <c r="AA372" t="s">
        <v>1019</v>
      </c>
      <c r="AB372">
        <v>7</v>
      </c>
      <c r="AC372" t="s">
        <v>1020</v>
      </c>
      <c r="AD372">
        <v>305</v>
      </c>
      <c r="AE372">
        <v>338</v>
      </c>
      <c r="AF372">
        <v>315.48</v>
      </c>
      <c r="AG372">
        <v>289.36</v>
      </c>
      <c r="AH372" t="s">
        <v>1021</v>
      </c>
    </row>
    <row r="373" spans="1:35" x14ac:dyDescent="0.25">
      <c r="A373">
        <v>595</v>
      </c>
      <c r="B373" t="s">
        <v>1022</v>
      </c>
      <c r="C373" t="s">
        <v>1023</v>
      </c>
      <c r="D373">
        <v>53</v>
      </c>
      <c r="E373">
        <v>29886</v>
      </c>
      <c r="F373">
        <v>38</v>
      </c>
      <c r="G373">
        <v>26910</v>
      </c>
      <c r="H373">
        <v>0</v>
      </c>
      <c r="I373">
        <v>51</v>
      </c>
      <c r="J373">
        <v>0</v>
      </c>
      <c r="K373">
        <v>32110</v>
      </c>
      <c r="L373">
        <v>29174</v>
      </c>
      <c r="M373">
        <v>1</v>
      </c>
      <c r="N373">
        <v>-12.6</v>
      </c>
      <c r="O373">
        <v>-2276.6</v>
      </c>
      <c r="P373">
        <v>-0.13</v>
      </c>
      <c r="Q373">
        <v>-22.77</v>
      </c>
      <c r="R373" t="s">
        <v>59</v>
      </c>
      <c r="S373" t="s">
        <v>1277</v>
      </c>
      <c r="T373" s="1">
        <v>43397.621562499997</v>
      </c>
      <c r="U373">
        <v>3</v>
      </c>
      <c r="V373" t="s">
        <v>38</v>
      </c>
      <c r="W373">
        <v>4</v>
      </c>
      <c r="X373" t="s">
        <v>114</v>
      </c>
      <c r="Y373">
        <v>54</v>
      </c>
      <c r="Z373">
        <v>161</v>
      </c>
      <c r="AA373" t="s">
        <v>1024</v>
      </c>
      <c r="AB373">
        <v>7</v>
      </c>
      <c r="AC373" t="s">
        <v>1020</v>
      </c>
      <c r="AD373">
        <v>269.10000000000002</v>
      </c>
      <c r="AE373">
        <v>298.86</v>
      </c>
      <c r="AF373">
        <v>321.10000000000002</v>
      </c>
      <c r="AG373">
        <v>291.74</v>
      </c>
      <c r="AH373" t="s">
        <v>1025</v>
      </c>
    </row>
    <row r="374" spans="1:35" x14ac:dyDescent="0.25">
      <c r="A374">
        <v>596</v>
      </c>
      <c r="B374" t="s">
        <v>1026</v>
      </c>
      <c r="C374" t="s">
        <v>1027</v>
      </c>
      <c r="D374">
        <v>17</v>
      </c>
      <c r="E374">
        <v>91497</v>
      </c>
      <c r="F374">
        <v>22</v>
      </c>
      <c r="G374">
        <v>82500</v>
      </c>
      <c r="H374">
        <v>0</v>
      </c>
      <c r="I374">
        <v>55</v>
      </c>
      <c r="J374">
        <v>0</v>
      </c>
      <c r="K374">
        <v>0</v>
      </c>
      <c r="L374">
        <v>0</v>
      </c>
      <c r="M374">
        <v>1</v>
      </c>
      <c r="N374">
        <v>-152.69999999999999</v>
      </c>
      <c r="O374">
        <v>82347.3</v>
      </c>
      <c r="P374">
        <v>-1.53</v>
      </c>
      <c r="Q374">
        <v>823.47</v>
      </c>
      <c r="R374" t="s">
        <v>37</v>
      </c>
      <c r="S374" t="s">
        <v>1277</v>
      </c>
      <c r="T374" s="1">
        <v>43397.621562499997</v>
      </c>
      <c r="U374">
        <v>3</v>
      </c>
      <c r="V374" t="s">
        <v>38</v>
      </c>
      <c r="W374">
        <v>1</v>
      </c>
      <c r="X374" t="s">
        <v>101</v>
      </c>
      <c r="Y374">
        <v>55</v>
      </c>
      <c r="Z374">
        <v>0</v>
      </c>
      <c r="AA374" t="s">
        <v>169</v>
      </c>
      <c r="AB374">
        <v>0</v>
      </c>
      <c r="AC374" t="s">
        <v>43</v>
      </c>
      <c r="AD374">
        <v>825</v>
      </c>
      <c r="AE374">
        <v>914.97</v>
      </c>
      <c r="AF374">
        <v>0</v>
      </c>
      <c r="AG374">
        <v>0</v>
      </c>
      <c r="AH374" t="s">
        <v>1028</v>
      </c>
    </row>
    <row r="375" spans="1:35" x14ac:dyDescent="0.25">
      <c r="A375">
        <v>598</v>
      </c>
      <c r="B375" t="s">
        <v>1029</v>
      </c>
      <c r="C375" t="s">
        <v>1030</v>
      </c>
      <c r="D375">
        <v>97</v>
      </c>
      <c r="E375">
        <v>3600</v>
      </c>
      <c r="F375">
        <v>56</v>
      </c>
      <c r="G375">
        <v>3015</v>
      </c>
      <c r="H375">
        <v>0</v>
      </c>
      <c r="I375">
        <v>81</v>
      </c>
      <c r="J375">
        <v>0</v>
      </c>
      <c r="K375">
        <v>3157</v>
      </c>
      <c r="L375">
        <v>3023</v>
      </c>
      <c r="M375">
        <v>1</v>
      </c>
      <c r="N375">
        <v>225</v>
      </c>
      <c r="O375">
        <v>217</v>
      </c>
      <c r="P375">
        <v>2.25</v>
      </c>
      <c r="Q375">
        <v>2.17</v>
      </c>
      <c r="R375" t="s">
        <v>59</v>
      </c>
      <c r="S375" t="s">
        <v>1277</v>
      </c>
      <c r="T375" s="1">
        <v>43397.621562499997</v>
      </c>
      <c r="U375">
        <v>2</v>
      </c>
      <c r="V375" t="s">
        <v>47</v>
      </c>
      <c r="W375">
        <v>2</v>
      </c>
      <c r="X375" t="s">
        <v>39</v>
      </c>
      <c r="Y375">
        <v>26</v>
      </c>
      <c r="Z375">
        <v>151</v>
      </c>
      <c r="AA375" t="s">
        <v>40</v>
      </c>
      <c r="AB375">
        <v>7</v>
      </c>
      <c r="AC375" t="s">
        <v>1020</v>
      </c>
      <c r="AD375">
        <v>30.15</v>
      </c>
      <c r="AE375">
        <v>36</v>
      </c>
      <c r="AF375">
        <v>31.57</v>
      </c>
      <c r="AG375">
        <v>30.23</v>
      </c>
      <c r="AH375" t="s">
        <v>1031</v>
      </c>
    </row>
    <row r="376" spans="1:35" x14ac:dyDescent="0.25">
      <c r="A376">
        <v>599</v>
      </c>
      <c r="B376" t="s">
        <v>1032</v>
      </c>
      <c r="C376" t="s">
        <v>1033</v>
      </c>
      <c r="D376">
        <v>32</v>
      </c>
      <c r="E376">
        <v>3598</v>
      </c>
      <c r="F376">
        <v>53</v>
      </c>
      <c r="G376">
        <v>3203</v>
      </c>
      <c r="H376">
        <v>0</v>
      </c>
      <c r="I376">
        <v>101</v>
      </c>
      <c r="J376">
        <v>0</v>
      </c>
      <c r="K376">
        <v>3340</v>
      </c>
      <c r="L376">
        <v>3193</v>
      </c>
      <c r="M376">
        <v>1</v>
      </c>
      <c r="N376">
        <v>35.200000000000003</v>
      </c>
      <c r="O376">
        <v>45.2</v>
      </c>
      <c r="P376">
        <v>0.35</v>
      </c>
      <c r="Q376">
        <v>0.45</v>
      </c>
      <c r="R376" t="s">
        <v>37</v>
      </c>
      <c r="S376" t="s">
        <v>1277</v>
      </c>
      <c r="T376" s="1">
        <v>43397.621562499997</v>
      </c>
      <c r="U376">
        <v>2</v>
      </c>
      <c r="V376" t="s">
        <v>47</v>
      </c>
      <c r="W376">
        <v>1</v>
      </c>
      <c r="X376" t="s">
        <v>101</v>
      </c>
      <c r="Y376">
        <v>5</v>
      </c>
      <c r="Z376">
        <v>150</v>
      </c>
      <c r="AA376" t="s">
        <v>182</v>
      </c>
      <c r="AB376">
        <v>7</v>
      </c>
      <c r="AC376" t="s">
        <v>1020</v>
      </c>
      <c r="AD376">
        <v>32.03</v>
      </c>
      <c r="AE376">
        <v>35.979999999999997</v>
      </c>
      <c r="AF376">
        <v>33.4</v>
      </c>
      <c r="AG376">
        <v>31.93</v>
      </c>
      <c r="AH376" t="s">
        <v>1034</v>
      </c>
    </row>
    <row r="377" spans="1:35" x14ac:dyDescent="0.25">
      <c r="A377">
        <v>600</v>
      </c>
      <c r="B377" t="s">
        <v>1035</v>
      </c>
      <c r="C377" t="s">
        <v>1036</v>
      </c>
      <c r="D377">
        <v>85</v>
      </c>
      <c r="E377">
        <v>3391</v>
      </c>
      <c r="F377">
        <v>42</v>
      </c>
      <c r="G377">
        <v>2800</v>
      </c>
      <c r="H377">
        <v>0</v>
      </c>
      <c r="I377">
        <v>109</v>
      </c>
      <c r="J377">
        <v>0</v>
      </c>
      <c r="K377">
        <v>2678</v>
      </c>
      <c r="L377">
        <v>2612</v>
      </c>
      <c r="M377">
        <v>1</v>
      </c>
      <c r="N377">
        <v>251.9</v>
      </c>
      <c r="O377">
        <v>439.9</v>
      </c>
      <c r="P377">
        <v>2.52</v>
      </c>
      <c r="Q377">
        <v>4.4000000000000004</v>
      </c>
      <c r="R377" t="s">
        <v>37</v>
      </c>
      <c r="S377" t="s">
        <v>1277</v>
      </c>
      <c r="T377" s="1">
        <v>43397.621562499997</v>
      </c>
      <c r="U377">
        <v>2</v>
      </c>
      <c r="V377" t="s">
        <v>47</v>
      </c>
      <c r="W377">
        <v>4</v>
      </c>
      <c r="X377" t="s">
        <v>114</v>
      </c>
      <c r="Y377">
        <v>35</v>
      </c>
      <c r="Z377">
        <v>153</v>
      </c>
      <c r="AA377" t="s">
        <v>165</v>
      </c>
      <c r="AB377">
        <v>7</v>
      </c>
      <c r="AC377" t="s">
        <v>1020</v>
      </c>
      <c r="AD377">
        <v>28</v>
      </c>
      <c r="AE377">
        <v>33.909999999999997</v>
      </c>
      <c r="AF377">
        <v>26.78</v>
      </c>
      <c r="AG377">
        <v>26.12</v>
      </c>
      <c r="AH377" t="s">
        <v>1037</v>
      </c>
    </row>
    <row r="378" spans="1:35" x14ac:dyDescent="0.25">
      <c r="A378">
        <v>602</v>
      </c>
      <c r="B378" t="s">
        <v>1038</v>
      </c>
      <c r="C378" t="s">
        <v>1036</v>
      </c>
      <c r="D378">
        <v>36</v>
      </c>
      <c r="E378">
        <v>3299</v>
      </c>
      <c r="F378">
        <v>20</v>
      </c>
      <c r="G378">
        <v>3231</v>
      </c>
      <c r="H378">
        <v>0</v>
      </c>
      <c r="I378">
        <v>161</v>
      </c>
      <c r="J378">
        <v>0</v>
      </c>
      <c r="K378">
        <v>2532</v>
      </c>
      <c r="L378">
        <v>2490</v>
      </c>
      <c r="M378">
        <v>1</v>
      </c>
      <c r="N378">
        <v>-261.89999999999998</v>
      </c>
      <c r="O378">
        <v>479.1</v>
      </c>
      <c r="P378">
        <v>-2.62</v>
      </c>
      <c r="Q378">
        <v>4.79</v>
      </c>
      <c r="R378" t="s">
        <v>37</v>
      </c>
      <c r="S378" t="s">
        <v>1277</v>
      </c>
      <c r="T378" s="1">
        <v>43397.621562499997</v>
      </c>
      <c r="U378">
        <v>2</v>
      </c>
      <c r="V378" t="s">
        <v>47</v>
      </c>
      <c r="W378">
        <v>4</v>
      </c>
      <c r="X378" t="s">
        <v>114</v>
      </c>
      <c r="Y378">
        <v>35</v>
      </c>
      <c r="Z378">
        <v>152</v>
      </c>
      <c r="AA378" t="s">
        <v>165</v>
      </c>
      <c r="AB378">
        <v>7</v>
      </c>
      <c r="AC378" t="s">
        <v>1020</v>
      </c>
      <c r="AD378">
        <v>32.31</v>
      </c>
      <c r="AE378">
        <v>32.99</v>
      </c>
      <c r="AF378">
        <v>25.32</v>
      </c>
      <c r="AG378">
        <v>24.9</v>
      </c>
      <c r="AH378" t="s">
        <v>1039</v>
      </c>
    </row>
    <row r="379" spans="1:35" x14ac:dyDescent="0.25">
      <c r="A379">
        <v>603</v>
      </c>
      <c r="B379" t="s">
        <v>1040</v>
      </c>
      <c r="C379" t="s">
        <v>287</v>
      </c>
      <c r="D379">
        <v>14</v>
      </c>
      <c r="E379">
        <v>9454</v>
      </c>
      <c r="F379">
        <v>3</v>
      </c>
      <c r="G379">
        <v>7717</v>
      </c>
      <c r="H379">
        <v>0</v>
      </c>
      <c r="I379">
        <v>219</v>
      </c>
      <c r="J379">
        <v>0</v>
      </c>
      <c r="K379">
        <v>0</v>
      </c>
      <c r="L379">
        <v>0</v>
      </c>
      <c r="M379">
        <v>1</v>
      </c>
      <c r="N379">
        <v>791.6</v>
      </c>
      <c r="O379">
        <v>8508.6</v>
      </c>
      <c r="P379">
        <v>7.92</v>
      </c>
      <c r="Q379">
        <v>85.09</v>
      </c>
      <c r="R379" t="s">
        <v>37</v>
      </c>
      <c r="S379" t="s">
        <v>1277</v>
      </c>
      <c r="T379" s="1">
        <v>43397.621562499997</v>
      </c>
      <c r="U379">
        <v>4</v>
      </c>
      <c r="V379" t="s">
        <v>55</v>
      </c>
      <c r="W379">
        <v>7</v>
      </c>
      <c r="X379" t="s">
        <v>49</v>
      </c>
      <c r="Y379">
        <v>10</v>
      </c>
      <c r="Z379">
        <v>0</v>
      </c>
      <c r="AA379" t="s">
        <v>50</v>
      </c>
      <c r="AB379">
        <v>0</v>
      </c>
      <c r="AC379" t="s">
        <v>43</v>
      </c>
      <c r="AD379">
        <v>77.17</v>
      </c>
      <c r="AE379">
        <v>94.54</v>
      </c>
      <c r="AF379">
        <v>0</v>
      </c>
      <c r="AG379">
        <v>0</v>
      </c>
      <c r="AH379" t="s">
        <v>1041</v>
      </c>
      <c r="AI379" t="s">
        <v>43</v>
      </c>
    </row>
    <row r="380" spans="1:35" x14ac:dyDescent="0.25">
      <c r="A380">
        <v>606</v>
      </c>
      <c r="B380" t="s">
        <v>1042</v>
      </c>
      <c r="C380" t="s">
        <v>43</v>
      </c>
      <c r="D380">
        <v>16</v>
      </c>
      <c r="E380">
        <v>1009</v>
      </c>
      <c r="F380">
        <v>2</v>
      </c>
      <c r="G380">
        <v>910</v>
      </c>
      <c r="H380">
        <v>0</v>
      </c>
      <c r="I380">
        <v>393</v>
      </c>
      <c r="J380">
        <v>0</v>
      </c>
      <c r="K380">
        <v>0</v>
      </c>
      <c r="L380">
        <v>0</v>
      </c>
      <c r="M380">
        <v>1</v>
      </c>
      <c r="N380">
        <v>-1.9</v>
      </c>
      <c r="O380">
        <v>908.1</v>
      </c>
      <c r="P380">
        <v>-0.02</v>
      </c>
      <c r="Q380">
        <v>9.08</v>
      </c>
      <c r="R380" t="s">
        <v>37</v>
      </c>
      <c r="S380" t="s">
        <v>1277</v>
      </c>
      <c r="T380" s="1">
        <v>43397.621562499997</v>
      </c>
      <c r="U380">
        <v>3</v>
      </c>
      <c r="V380" t="s">
        <v>38</v>
      </c>
      <c r="W380">
        <v>6</v>
      </c>
      <c r="X380" t="s">
        <v>350</v>
      </c>
      <c r="Y380">
        <v>52</v>
      </c>
      <c r="Z380">
        <v>0</v>
      </c>
      <c r="AA380" t="s">
        <v>46</v>
      </c>
      <c r="AB380">
        <v>0</v>
      </c>
      <c r="AC380" t="s">
        <v>43</v>
      </c>
      <c r="AD380">
        <v>9.1</v>
      </c>
      <c r="AE380">
        <v>10.09</v>
      </c>
      <c r="AF380">
        <v>0</v>
      </c>
      <c r="AG380">
        <v>0</v>
      </c>
      <c r="AH380" t="s">
        <v>1043</v>
      </c>
      <c r="AI380" t="s">
        <v>43</v>
      </c>
    </row>
    <row r="381" spans="1:35" x14ac:dyDescent="0.25">
      <c r="A381">
        <v>607</v>
      </c>
      <c r="B381" t="s">
        <v>1044</v>
      </c>
      <c r="C381" t="s">
        <v>1045</v>
      </c>
      <c r="D381">
        <v>12</v>
      </c>
      <c r="E381">
        <v>2700</v>
      </c>
      <c r="F381">
        <v>10</v>
      </c>
      <c r="G381">
        <v>2200</v>
      </c>
      <c r="H381">
        <v>0</v>
      </c>
      <c r="I381">
        <v>388</v>
      </c>
      <c r="J381">
        <v>0</v>
      </c>
      <c r="K381">
        <v>0</v>
      </c>
      <c r="L381">
        <v>0</v>
      </c>
      <c r="M381">
        <v>1</v>
      </c>
      <c r="N381">
        <v>230</v>
      </c>
      <c r="O381">
        <v>2430</v>
      </c>
      <c r="P381">
        <v>2.2999999999999998</v>
      </c>
      <c r="Q381">
        <v>24.3</v>
      </c>
      <c r="R381" t="s">
        <v>37</v>
      </c>
      <c r="S381" t="s">
        <v>1277</v>
      </c>
      <c r="T381" s="1">
        <v>43397.621562499997</v>
      </c>
      <c r="U381">
        <v>4</v>
      </c>
      <c r="V381" t="s">
        <v>55</v>
      </c>
      <c r="W381">
        <v>9</v>
      </c>
      <c r="X381" t="s">
        <v>45</v>
      </c>
      <c r="Y381">
        <v>52</v>
      </c>
      <c r="Z381">
        <v>0</v>
      </c>
      <c r="AA381" t="s">
        <v>46</v>
      </c>
      <c r="AB381">
        <v>0</v>
      </c>
      <c r="AC381" t="s">
        <v>43</v>
      </c>
      <c r="AD381">
        <v>22</v>
      </c>
      <c r="AE381">
        <v>27</v>
      </c>
      <c r="AF381">
        <v>0</v>
      </c>
      <c r="AG381">
        <v>0</v>
      </c>
      <c r="AH381" t="s">
        <v>1046</v>
      </c>
      <c r="AI381" t="s">
        <v>43</v>
      </c>
    </row>
    <row r="382" spans="1:35" x14ac:dyDescent="0.25">
      <c r="A382">
        <v>608</v>
      </c>
      <c r="B382" t="s">
        <v>1047</v>
      </c>
      <c r="C382" t="s">
        <v>43</v>
      </c>
      <c r="D382">
        <v>8</v>
      </c>
      <c r="E382">
        <v>2359</v>
      </c>
      <c r="F382">
        <v>3</v>
      </c>
      <c r="G382">
        <v>1205</v>
      </c>
      <c r="H382">
        <v>0</v>
      </c>
      <c r="I382">
        <v>415</v>
      </c>
      <c r="J382">
        <v>0</v>
      </c>
      <c r="K382">
        <v>0</v>
      </c>
      <c r="L382">
        <v>0</v>
      </c>
      <c r="M382">
        <v>1</v>
      </c>
      <c r="N382">
        <v>918.1</v>
      </c>
      <c r="O382">
        <v>2123.1</v>
      </c>
      <c r="P382">
        <v>9.18</v>
      </c>
      <c r="Q382">
        <v>21.23</v>
      </c>
      <c r="R382" t="s">
        <v>37</v>
      </c>
      <c r="S382" t="s">
        <v>1277</v>
      </c>
      <c r="T382" s="1">
        <v>43397.621562499997</v>
      </c>
      <c r="U382">
        <v>3</v>
      </c>
      <c r="V382" t="s">
        <v>38</v>
      </c>
      <c r="W382">
        <v>9</v>
      </c>
      <c r="X382" t="s">
        <v>45</v>
      </c>
      <c r="Y382">
        <v>52</v>
      </c>
      <c r="Z382">
        <v>0</v>
      </c>
      <c r="AA382" t="s">
        <v>46</v>
      </c>
      <c r="AB382">
        <v>0</v>
      </c>
      <c r="AC382" t="s">
        <v>43</v>
      </c>
      <c r="AD382">
        <v>12.05</v>
      </c>
      <c r="AE382">
        <v>23.59</v>
      </c>
      <c r="AF382">
        <v>0</v>
      </c>
      <c r="AG382">
        <v>0</v>
      </c>
      <c r="AH382" t="s">
        <v>1048</v>
      </c>
      <c r="AI382" t="s">
        <v>43</v>
      </c>
    </row>
    <row r="383" spans="1:35" x14ac:dyDescent="0.25">
      <c r="A383">
        <v>609</v>
      </c>
      <c r="B383" t="s">
        <v>1049</v>
      </c>
      <c r="C383" t="s">
        <v>1050</v>
      </c>
      <c r="D383">
        <v>51</v>
      </c>
      <c r="E383">
        <v>29900</v>
      </c>
      <c r="F383">
        <v>33</v>
      </c>
      <c r="G383">
        <v>26200</v>
      </c>
      <c r="H383">
        <v>0</v>
      </c>
      <c r="I383">
        <v>48</v>
      </c>
      <c r="J383">
        <v>0</v>
      </c>
      <c r="K383">
        <v>31716</v>
      </c>
      <c r="L383">
        <v>29498</v>
      </c>
      <c r="M383">
        <v>1</v>
      </c>
      <c r="N383">
        <v>710</v>
      </c>
      <c r="O383">
        <v>-2588</v>
      </c>
      <c r="P383">
        <v>7.1</v>
      </c>
      <c r="Q383">
        <v>-25.88</v>
      </c>
      <c r="R383" t="s">
        <v>59</v>
      </c>
      <c r="S383" t="s">
        <v>1277</v>
      </c>
      <c r="T383" s="1">
        <v>43397.621562499997</v>
      </c>
      <c r="U383">
        <v>3</v>
      </c>
      <c r="V383" t="s">
        <v>38</v>
      </c>
      <c r="W383">
        <v>2</v>
      </c>
      <c r="X383" t="s">
        <v>39</v>
      </c>
      <c r="Y383">
        <v>11</v>
      </c>
      <c r="Z383">
        <v>157</v>
      </c>
      <c r="AA383" t="s">
        <v>540</v>
      </c>
      <c r="AB383">
        <v>7</v>
      </c>
      <c r="AC383" t="s">
        <v>1020</v>
      </c>
      <c r="AD383">
        <v>262</v>
      </c>
      <c r="AE383">
        <v>299</v>
      </c>
      <c r="AF383">
        <v>317.16000000000003</v>
      </c>
      <c r="AG383">
        <v>294.98</v>
      </c>
      <c r="AH383" t="s">
        <v>1051</v>
      </c>
    </row>
    <row r="384" spans="1:35" x14ac:dyDescent="0.25">
      <c r="A384">
        <v>610</v>
      </c>
      <c r="B384" t="s">
        <v>1052</v>
      </c>
      <c r="C384" t="s">
        <v>1053</v>
      </c>
      <c r="D384">
        <v>95</v>
      </c>
      <c r="E384">
        <v>33900</v>
      </c>
      <c r="F384">
        <v>65</v>
      </c>
      <c r="G384">
        <v>33100</v>
      </c>
      <c r="H384">
        <v>0</v>
      </c>
      <c r="I384">
        <v>9</v>
      </c>
      <c r="J384">
        <v>0</v>
      </c>
      <c r="K384">
        <v>32472</v>
      </c>
      <c r="L384">
        <v>29898</v>
      </c>
      <c r="M384">
        <v>1</v>
      </c>
      <c r="N384">
        <v>-2590</v>
      </c>
      <c r="O384">
        <v>612</v>
      </c>
      <c r="P384">
        <v>-25.9</v>
      </c>
      <c r="Q384">
        <v>6.12</v>
      </c>
      <c r="R384" t="s">
        <v>37</v>
      </c>
      <c r="S384" t="s">
        <v>1277</v>
      </c>
      <c r="T384" s="1">
        <v>43397.621562499997</v>
      </c>
      <c r="U384">
        <v>3</v>
      </c>
      <c r="V384" t="s">
        <v>38</v>
      </c>
      <c r="W384">
        <v>4</v>
      </c>
      <c r="X384" t="s">
        <v>114</v>
      </c>
      <c r="Y384">
        <v>35</v>
      </c>
      <c r="Z384">
        <v>155</v>
      </c>
      <c r="AA384" t="s">
        <v>165</v>
      </c>
      <c r="AB384">
        <v>7</v>
      </c>
      <c r="AC384" t="s">
        <v>1020</v>
      </c>
      <c r="AD384">
        <v>331</v>
      </c>
      <c r="AE384">
        <v>339</v>
      </c>
      <c r="AF384">
        <v>324.72000000000003</v>
      </c>
      <c r="AG384">
        <v>298.98</v>
      </c>
      <c r="AH384" t="s">
        <v>1054</v>
      </c>
    </row>
    <row r="385" spans="1:35" x14ac:dyDescent="0.25">
      <c r="A385">
        <v>611</v>
      </c>
      <c r="B385" t="s">
        <v>1055</v>
      </c>
      <c r="C385" t="s">
        <v>1053</v>
      </c>
      <c r="D385">
        <v>42</v>
      </c>
      <c r="E385">
        <v>32425</v>
      </c>
      <c r="F385">
        <v>27</v>
      </c>
      <c r="G385">
        <v>28631</v>
      </c>
      <c r="H385">
        <v>0</v>
      </c>
      <c r="I385">
        <v>75</v>
      </c>
      <c r="J385">
        <v>0</v>
      </c>
      <c r="K385">
        <v>32252</v>
      </c>
      <c r="L385">
        <v>30116</v>
      </c>
      <c r="M385">
        <v>1</v>
      </c>
      <c r="N385">
        <v>551.5</v>
      </c>
      <c r="O385">
        <v>-933.5</v>
      </c>
      <c r="P385">
        <v>5.52</v>
      </c>
      <c r="Q385">
        <v>-9.34</v>
      </c>
      <c r="R385" t="s">
        <v>59</v>
      </c>
      <c r="S385" t="s">
        <v>1277</v>
      </c>
      <c r="T385" s="1">
        <v>43397.621562499997</v>
      </c>
      <c r="U385">
        <v>3</v>
      </c>
      <c r="V385" t="s">
        <v>38</v>
      </c>
      <c r="W385">
        <v>4</v>
      </c>
      <c r="X385" t="s">
        <v>114</v>
      </c>
      <c r="Y385">
        <v>35</v>
      </c>
      <c r="Z385">
        <v>154</v>
      </c>
      <c r="AA385" t="s">
        <v>165</v>
      </c>
      <c r="AB385">
        <v>7</v>
      </c>
      <c r="AC385" t="s">
        <v>1020</v>
      </c>
      <c r="AD385">
        <v>286.31</v>
      </c>
      <c r="AE385">
        <v>324.25</v>
      </c>
      <c r="AF385">
        <v>322.52</v>
      </c>
      <c r="AG385">
        <v>301.16000000000003</v>
      </c>
      <c r="AH385" t="s">
        <v>1056</v>
      </c>
    </row>
    <row r="386" spans="1:35" x14ac:dyDescent="0.25">
      <c r="A386">
        <v>612</v>
      </c>
      <c r="B386" t="s">
        <v>1057</v>
      </c>
      <c r="C386" t="s">
        <v>1058</v>
      </c>
      <c r="D386">
        <v>21</v>
      </c>
      <c r="E386">
        <v>34300</v>
      </c>
      <c r="F386">
        <v>9</v>
      </c>
      <c r="G386">
        <v>30004</v>
      </c>
      <c r="H386">
        <v>0</v>
      </c>
      <c r="I386">
        <v>116</v>
      </c>
      <c r="J386">
        <v>0</v>
      </c>
      <c r="K386">
        <v>31918</v>
      </c>
      <c r="L386">
        <v>30554</v>
      </c>
      <c r="M386">
        <v>1</v>
      </c>
      <c r="N386">
        <v>866</v>
      </c>
      <c r="O386">
        <v>316</v>
      </c>
      <c r="P386">
        <v>8.66</v>
      </c>
      <c r="Q386">
        <v>3.16</v>
      </c>
      <c r="R386" t="s">
        <v>59</v>
      </c>
      <c r="S386" t="s">
        <v>1277</v>
      </c>
      <c r="T386" s="1">
        <v>43397.621562499997</v>
      </c>
      <c r="U386">
        <v>3</v>
      </c>
      <c r="V386" t="s">
        <v>38</v>
      </c>
      <c r="W386">
        <v>3</v>
      </c>
      <c r="X386" t="s">
        <v>109</v>
      </c>
      <c r="Y386">
        <v>12</v>
      </c>
      <c r="Z386">
        <v>158</v>
      </c>
      <c r="AA386" t="s">
        <v>186</v>
      </c>
      <c r="AB386">
        <v>7</v>
      </c>
      <c r="AC386" t="s">
        <v>1020</v>
      </c>
      <c r="AD386">
        <v>300.04000000000002</v>
      </c>
      <c r="AE386">
        <v>343</v>
      </c>
      <c r="AF386">
        <v>319.18</v>
      </c>
      <c r="AG386">
        <v>305.54000000000002</v>
      </c>
      <c r="AH386" t="s">
        <v>1059</v>
      </c>
    </row>
    <row r="387" spans="1:35" x14ac:dyDescent="0.25">
      <c r="A387">
        <v>613</v>
      </c>
      <c r="B387" t="s">
        <v>1060</v>
      </c>
      <c r="C387" t="s">
        <v>1061</v>
      </c>
      <c r="D387">
        <v>23</v>
      </c>
      <c r="E387">
        <v>33480</v>
      </c>
      <c r="F387">
        <v>1</v>
      </c>
      <c r="G387">
        <v>30000</v>
      </c>
      <c r="H387">
        <v>0</v>
      </c>
      <c r="I387">
        <v>87</v>
      </c>
      <c r="J387">
        <v>0</v>
      </c>
      <c r="K387">
        <v>32606</v>
      </c>
      <c r="L387">
        <v>29770</v>
      </c>
      <c r="M387">
        <v>1</v>
      </c>
      <c r="N387">
        <v>132</v>
      </c>
      <c r="O387">
        <v>362</v>
      </c>
      <c r="P387">
        <v>1.32</v>
      </c>
      <c r="Q387">
        <v>3.62</v>
      </c>
      <c r="R387" t="s">
        <v>37</v>
      </c>
      <c r="S387" t="s">
        <v>1277</v>
      </c>
      <c r="T387" s="1">
        <v>43397.621562499997</v>
      </c>
      <c r="U387">
        <v>3</v>
      </c>
      <c r="V387" t="s">
        <v>38</v>
      </c>
      <c r="W387">
        <v>1</v>
      </c>
      <c r="X387" t="s">
        <v>101</v>
      </c>
      <c r="Y387">
        <v>55</v>
      </c>
      <c r="Z387">
        <v>162</v>
      </c>
      <c r="AA387" t="s">
        <v>169</v>
      </c>
      <c r="AB387">
        <v>7</v>
      </c>
      <c r="AC387" t="s">
        <v>1020</v>
      </c>
      <c r="AD387">
        <v>300</v>
      </c>
      <c r="AE387">
        <v>334.8</v>
      </c>
      <c r="AF387">
        <v>326.06</v>
      </c>
      <c r="AG387">
        <v>297.7</v>
      </c>
      <c r="AH387" t="s">
        <v>1062</v>
      </c>
    </row>
    <row r="388" spans="1:35" x14ac:dyDescent="0.25">
      <c r="A388">
        <v>614</v>
      </c>
      <c r="B388" t="s">
        <v>1063</v>
      </c>
      <c r="C388" t="s">
        <v>1064</v>
      </c>
      <c r="D388">
        <v>22</v>
      </c>
      <c r="E388">
        <v>34600</v>
      </c>
      <c r="F388">
        <v>15</v>
      </c>
      <c r="G388">
        <v>29006</v>
      </c>
      <c r="H388">
        <v>0</v>
      </c>
      <c r="I388">
        <v>158</v>
      </c>
      <c r="J388">
        <v>0</v>
      </c>
      <c r="K388">
        <v>33064</v>
      </c>
      <c r="L388">
        <v>29990</v>
      </c>
      <c r="M388">
        <v>1</v>
      </c>
      <c r="N388">
        <v>2134</v>
      </c>
      <c r="O388">
        <v>1150</v>
      </c>
      <c r="P388">
        <v>21.34</v>
      </c>
      <c r="Q388">
        <v>11.5</v>
      </c>
      <c r="R388" t="s">
        <v>59</v>
      </c>
      <c r="S388" t="s">
        <v>1277</v>
      </c>
      <c r="T388" s="1">
        <v>43397.621562499997</v>
      </c>
      <c r="U388">
        <v>3</v>
      </c>
      <c r="V388" t="s">
        <v>38</v>
      </c>
      <c r="W388">
        <v>3</v>
      </c>
      <c r="X388" t="s">
        <v>109</v>
      </c>
      <c r="Y388">
        <v>58</v>
      </c>
      <c r="Z388">
        <v>156</v>
      </c>
      <c r="AA388" t="s">
        <v>1065</v>
      </c>
      <c r="AB388">
        <v>7</v>
      </c>
      <c r="AC388" t="s">
        <v>1020</v>
      </c>
      <c r="AD388">
        <v>290.06</v>
      </c>
      <c r="AE388">
        <v>346</v>
      </c>
      <c r="AF388">
        <v>330.64</v>
      </c>
      <c r="AG388">
        <v>299.89999999999998</v>
      </c>
      <c r="AH388" t="s">
        <v>1066</v>
      </c>
    </row>
    <row r="389" spans="1:35" x14ac:dyDescent="0.25">
      <c r="A389">
        <v>615</v>
      </c>
      <c r="B389" t="s">
        <v>1067</v>
      </c>
      <c r="C389" t="s">
        <v>43</v>
      </c>
      <c r="D389">
        <v>15</v>
      </c>
      <c r="E389">
        <v>1549</v>
      </c>
      <c r="F389">
        <v>4</v>
      </c>
      <c r="G389">
        <v>1036</v>
      </c>
      <c r="H389">
        <v>0</v>
      </c>
      <c r="I389">
        <v>403</v>
      </c>
      <c r="J389">
        <v>0</v>
      </c>
      <c r="K389">
        <v>0</v>
      </c>
      <c r="L389">
        <v>0</v>
      </c>
      <c r="M389">
        <v>1</v>
      </c>
      <c r="N389">
        <v>358.1</v>
      </c>
      <c r="O389">
        <v>1394.1</v>
      </c>
      <c r="P389">
        <v>3.58</v>
      </c>
      <c r="Q389">
        <v>13.94</v>
      </c>
      <c r="R389" t="s">
        <v>37</v>
      </c>
      <c r="S389" t="s">
        <v>1277</v>
      </c>
      <c r="T389" s="1">
        <v>43397.621562499997</v>
      </c>
      <c r="U389">
        <v>3</v>
      </c>
      <c r="V389" t="s">
        <v>38</v>
      </c>
      <c r="W389">
        <v>9</v>
      </c>
      <c r="X389" t="s">
        <v>45</v>
      </c>
      <c r="Y389">
        <v>52</v>
      </c>
      <c r="Z389">
        <v>0</v>
      </c>
      <c r="AA389" t="s">
        <v>46</v>
      </c>
      <c r="AB389">
        <v>0</v>
      </c>
      <c r="AC389" t="s">
        <v>43</v>
      </c>
      <c r="AD389">
        <v>10.36</v>
      </c>
      <c r="AE389">
        <v>15.49</v>
      </c>
      <c r="AF389">
        <v>0</v>
      </c>
      <c r="AG389">
        <v>0</v>
      </c>
      <c r="AH389" t="s">
        <v>1068</v>
      </c>
      <c r="AI389" t="s">
        <v>43</v>
      </c>
    </row>
    <row r="390" spans="1:35" x14ac:dyDescent="0.25">
      <c r="A390">
        <v>616</v>
      </c>
      <c r="B390" t="s">
        <v>1069</v>
      </c>
      <c r="C390" t="s">
        <v>1070</v>
      </c>
      <c r="D390">
        <v>11</v>
      </c>
      <c r="E390">
        <v>213000</v>
      </c>
      <c r="F390">
        <v>9</v>
      </c>
      <c r="G390">
        <v>197000</v>
      </c>
      <c r="H390">
        <v>0</v>
      </c>
      <c r="I390">
        <v>60</v>
      </c>
      <c r="J390">
        <v>0</v>
      </c>
      <c r="K390">
        <v>202508</v>
      </c>
      <c r="L390">
        <v>188853</v>
      </c>
      <c r="M390">
        <v>1</v>
      </c>
      <c r="N390">
        <v>-5300</v>
      </c>
      <c r="O390">
        <v>2847</v>
      </c>
      <c r="P390">
        <v>-53</v>
      </c>
      <c r="Q390">
        <v>28.47</v>
      </c>
      <c r="R390" t="s">
        <v>37</v>
      </c>
      <c r="S390" t="s">
        <v>1277</v>
      </c>
      <c r="T390" s="1">
        <v>43397.621562499997</v>
      </c>
      <c r="U390">
        <v>4</v>
      </c>
      <c r="V390" t="s">
        <v>55</v>
      </c>
      <c r="W390">
        <v>2</v>
      </c>
      <c r="X390" t="s">
        <v>39</v>
      </c>
      <c r="Y390">
        <v>37</v>
      </c>
      <c r="Z390">
        <v>159</v>
      </c>
      <c r="AA390" t="s">
        <v>565</v>
      </c>
      <c r="AB390">
        <v>7</v>
      </c>
      <c r="AC390" t="s">
        <v>1020</v>
      </c>
      <c r="AD390">
        <v>1970</v>
      </c>
      <c r="AE390">
        <v>2130</v>
      </c>
      <c r="AF390">
        <v>2025.08</v>
      </c>
      <c r="AG390">
        <v>1888.53</v>
      </c>
      <c r="AH390" t="s">
        <v>1071</v>
      </c>
    </row>
    <row r="391" spans="1:35" x14ac:dyDescent="0.25">
      <c r="A391">
        <v>617</v>
      </c>
      <c r="B391" t="s">
        <v>1072</v>
      </c>
      <c r="C391" t="s">
        <v>1073</v>
      </c>
      <c r="D391">
        <v>25</v>
      </c>
      <c r="E391">
        <v>187800</v>
      </c>
      <c r="F391">
        <v>14</v>
      </c>
      <c r="G391">
        <v>173111</v>
      </c>
      <c r="H391">
        <v>0</v>
      </c>
      <c r="I391">
        <v>63</v>
      </c>
      <c r="J391">
        <v>0</v>
      </c>
      <c r="K391">
        <v>198726</v>
      </c>
      <c r="L391">
        <v>189572</v>
      </c>
      <c r="M391">
        <v>1</v>
      </c>
      <c r="N391">
        <v>-4091</v>
      </c>
      <c r="O391">
        <v>-20552</v>
      </c>
      <c r="P391">
        <v>-40.909999999999997</v>
      </c>
      <c r="Q391">
        <v>-205.52</v>
      </c>
      <c r="R391" t="s">
        <v>59</v>
      </c>
      <c r="S391" t="s">
        <v>1277</v>
      </c>
      <c r="T391" s="1">
        <v>43397.621562499997</v>
      </c>
      <c r="U391">
        <v>4</v>
      </c>
      <c r="V391" t="s">
        <v>55</v>
      </c>
      <c r="W391">
        <v>2</v>
      </c>
      <c r="X391" t="s">
        <v>39</v>
      </c>
      <c r="Y391">
        <v>20</v>
      </c>
      <c r="Z391">
        <v>160</v>
      </c>
      <c r="AA391" t="s">
        <v>159</v>
      </c>
      <c r="AB391">
        <v>7</v>
      </c>
      <c r="AC391" t="s">
        <v>1020</v>
      </c>
      <c r="AD391">
        <v>1731.11</v>
      </c>
      <c r="AE391">
        <v>1878</v>
      </c>
      <c r="AF391">
        <v>1987.26</v>
      </c>
      <c r="AG391">
        <v>1895.72</v>
      </c>
      <c r="AH391" t="s">
        <v>1074</v>
      </c>
    </row>
    <row r="392" spans="1:35" x14ac:dyDescent="0.25">
      <c r="A392">
        <v>618</v>
      </c>
      <c r="B392" t="s">
        <v>1075</v>
      </c>
      <c r="C392" t="s">
        <v>1076</v>
      </c>
      <c r="D392">
        <v>35</v>
      </c>
      <c r="E392">
        <v>32950</v>
      </c>
      <c r="F392">
        <v>12</v>
      </c>
      <c r="G392">
        <v>32000</v>
      </c>
      <c r="H392">
        <v>0</v>
      </c>
      <c r="I392">
        <v>67</v>
      </c>
      <c r="J392">
        <v>0</v>
      </c>
      <c r="K392">
        <v>32226</v>
      </c>
      <c r="L392">
        <v>29980</v>
      </c>
      <c r="M392">
        <v>1</v>
      </c>
      <c r="N392">
        <v>-2345</v>
      </c>
      <c r="O392">
        <v>-325</v>
      </c>
      <c r="P392">
        <v>-23.45</v>
      </c>
      <c r="Q392">
        <v>-3.25</v>
      </c>
      <c r="R392" t="s">
        <v>37</v>
      </c>
      <c r="S392" t="s">
        <v>1277</v>
      </c>
      <c r="T392" s="1">
        <v>43397.621562499997</v>
      </c>
      <c r="U392">
        <v>3</v>
      </c>
      <c r="V392" t="s">
        <v>38</v>
      </c>
      <c r="W392">
        <v>2</v>
      </c>
      <c r="X392" t="s">
        <v>39</v>
      </c>
      <c r="Y392">
        <v>59</v>
      </c>
      <c r="Z392">
        <v>163</v>
      </c>
      <c r="AA392" t="s">
        <v>1077</v>
      </c>
      <c r="AB392">
        <v>7</v>
      </c>
      <c r="AC392" t="s">
        <v>1020</v>
      </c>
      <c r="AD392">
        <v>320</v>
      </c>
      <c r="AE392">
        <v>329.5</v>
      </c>
      <c r="AF392">
        <v>322.26</v>
      </c>
      <c r="AG392">
        <v>299.8</v>
      </c>
      <c r="AH392" t="s">
        <v>1078</v>
      </c>
    </row>
    <row r="393" spans="1:35" x14ac:dyDescent="0.25">
      <c r="A393">
        <v>619</v>
      </c>
      <c r="B393" t="s">
        <v>1079</v>
      </c>
      <c r="C393" t="s">
        <v>1080</v>
      </c>
      <c r="D393">
        <v>33</v>
      </c>
      <c r="E393">
        <v>33819</v>
      </c>
      <c r="F393">
        <v>32</v>
      </c>
      <c r="G393">
        <v>27201</v>
      </c>
      <c r="H393">
        <v>0</v>
      </c>
      <c r="I393">
        <v>176</v>
      </c>
      <c r="J393">
        <v>0</v>
      </c>
      <c r="K393">
        <v>0</v>
      </c>
      <c r="L393">
        <v>0</v>
      </c>
      <c r="M393">
        <v>1</v>
      </c>
      <c r="N393">
        <v>3236.1</v>
      </c>
      <c r="O393">
        <v>30437.1</v>
      </c>
      <c r="P393">
        <v>32.36</v>
      </c>
      <c r="Q393">
        <v>304.37</v>
      </c>
      <c r="R393" t="s">
        <v>37</v>
      </c>
      <c r="S393" t="s">
        <v>1277</v>
      </c>
      <c r="T393" s="1">
        <v>43397.621562499997</v>
      </c>
      <c r="U393">
        <v>2</v>
      </c>
      <c r="V393" t="s">
        <v>47</v>
      </c>
      <c r="W393">
        <v>4</v>
      </c>
      <c r="X393" t="s">
        <v>114</v>
      </c>
      <c r="Y393">
        <v>35</v>
      </c>
      <c r="Z393">
        <v>0</v>
      </c>
      <c r="AA393" t="s">
        <v>165</v>
      </c>
      <c r="AB393">
        <v>0</v>
      </c>
      <c r="AC393" t="s">
        <v>43</v>
      </c>
      <c r="AD393">
        <v>272.01</v>
      </c>
      <c r="AE393">
        <v>338.19</v>
      </c>
      <c r="AF393">
        <v>0</v>
      </c>
      <c r="AG393">
        <v>0</v>
      </c>
      <c r="AH393" t="s">
        <v>1081</v>
      </c>
    </row>
    <row r="394" spans="1:35" x14ac:dyDescent="0.25">
      <c r="A394">
        <v>620</v>
      </c>
      <c r="B394" t="s">
        <v>1082</v>
      </c>
      <c r="C394" t="s">
        <v>1083</v>
      </c>
      <c r="D394">
        <v>16</v>
      </c>
      <c r="E394">
        <v>27480</v>
      </c>
      <c r="F394">
        <v>19</v>
      </c>
      <c r="G394">
        <v>20592</v>
      </c>
      <c r="H394">
        <v>0</v>
      </c>
      <c r="I394">
        <v>205</v>
      </c>
      <c r="J394">
        <v>0</v>
      </c>
      <c r="K394">
        <v>0</v>
      </c>
      <c r="L394">
        <v>0</v>
      </c>
      <c r="M394">
        <v>1</v>
      </c>
      <c r="N394">
        <v>4140</v>
      </c>
      <c r="O394">
        <v>24732</v>
      </c>
      <c r="P394">
        <v>41.4</v>
      </c>
      <c r="Q394">
        <v>247.32</v>
      </c>
      <c r="R394" t="s">
        <v>37</v>
      </c>
      <c r="S394" t="s">
        <v>1277</v>
      </c>
      <c r="T394" s="1">
        <v>43397.621562499997</v>
      </c>
      <c r="U394">
        <v>2</v>
      </c>
      <c r="V394" t="s">
        <v>47</v>
      </c>
      <c r="W394">
        <v>1</v>
      </c>
      <c r="X394" t="s">
        <v>101</v>
      </c>
      <c r="Y394">
        <v>5</v>
      </c>
      <c r="Z394">
        <v>0</v>
      </c>
      <c r="AA394" t="s">
        <v>182</v>
      </c>
      <c r="AB394">
        <v>0</v>
      </c>
      <c r="AC394" t="s">
        <v>43</v>
      </c>
      <c r="AD394">
        <v>205.92</v>
      </c>
      <c r="AE394">
        <v>274.8</v>
      </c>
      <c r="AF394">
        <v>0</v>
      </c>
      <c r="AG394">
        <v>0</v>
      </c>
      <c r="AH394" t="s">
        <v>1084</v>
      </c>
    </row>
    <row r="395" spans="1:35" x14ac:dyDescent="0.25">
      <c r="A395">
        <v>621</v>
      </c>
      <c r="B395" t="s">
        <v>1085</v>
      </c>
      <c r="C395" t="s">
        <v>1080</v>
      </c>
      <c r="D395">
        <v>31</v>
      </c>
      <c r="E395">
        <v>8200</v>
      </c>
      <c r="F395">
        <v>9</v>
      </c>
      <c r="G395">
        <v>6810</v>
      </c>
      <c r="H395">
        <v>0</v>
      </c>
      <c r="I395">
        <v>221</v>
      </c>
      <c r="J395">
        <v>0</v>
      </c>
      <c r="K395">
        <v>0</v>
      </c>
      <c r="L395">
        <v>0</v>
      </c>
      <c r="M395">
        <v>1</v>
      </c>
      <c r="N395">
        <v>570</v>
      </c>
      <c r="O395">
        <v>7380</v>
      </c>
      <c r="P395">
        <v>5.7</v>
      </c>
      <c r="Q395">
        <v>73.8</v>
      </c>
      <c r="R395" t="s">
        <v>37</v>
      </c>
      <c r="S395" t="s">
        <v>1277</v>
      </c>
      <c r="T395" s="1">
        <v>43397.621562499997</v>
      </c>
      <c r="U395">
        <v>2</v>
      </c>
      <c r="V395" t="s">
        <v>47</v>
      </c>
      <c r="W395">
        <v>4</v>
      </c>
      <c r="X395" t="s">
        <v>114</v>
      </c>
      <c r="Y395">
        <v>35</v>
      </c>
      <c r="Z395">
        <v>0</v>
      </c>
      <c r="AA395" t="s">
        <v>165</v>
      </c>
      <c r="AB395">
        <v>0</v>
      </c>
      <c r="AC395" t="s">
        <v>43</v>
      </c>
      <c r="AD395">
        <v>68.099999999999994</v>
      </c>
      <c r="AE395">
        <v>82</v>
      </c>
      <c r="AF395">
        <v>0</v>
      </c>
      <c r="AG395">
        <v>0</v>
      </c>
      <c r="AH395" t="s">
        <v>1086</v>
      </c>
    </row>
    <row r="396" spans="1:35" x14ac:dyDescent="0.25">
      <c r="A396">
        <v>622</v>
      </c>
      <c r="B396" t="s">
        <v>1087</v>
      </c>
      <c r="C396" t="s">
        <v>287</v>
      </c>
      <c r="D396">
        <v>9</v>
      </c>
      <c r="E396">
        <v>26900</v>
      </c>
      <c r="F396">
        <v>4</v>
      </c>
      <c r="G396">
        <v>22071</v>
      </c>
      <c r="H396">
        <v>0</v>
      </c>
      <c r="I396">
        <v>252</v>
      </c>
      <c r="J396">
        <v>0</v>
      </c>
      <c r="K396">
        <v>0</v>
      </c>
      <c r="L396">
        <v>0</v>
      </c>
      <c r="M396">
        <v>1</v>
      </c>
      <c r="N396">
        <v>2139</v>
      </c>
      <c r="O396">
        <v>24210</v>
      </c>
      <c r="P396">
        <v>21.39</v>
      </c>
      <c r="Q396">
        <v>242.1</v>
      </c>
      <c r="R396" t="s">
        <v>37</v>
      </c>
      <c r="S396" t="s">
        <v>1277</v>
      </c>
      <c r="T396" s="1">
        <v>43397.621562499997</v>
      </c>
      <c r="U396">
        <v>5</v>
      </c>
      <c r="V396" t="s">
        <v>140</v>
      </c>
      <c r="W396">
        <v>7</v>
      </c>
      <c r="X396" t="s">
        <v>49</v>
      </c>
      <c r="Y396">
        <v>10</v>
      </c>
      <c r="Z396">
        <v>0</v>
      </c>
      <c r="AA396" t="s">
        <v>50</v>
      </c>
      <c r="AB396">
        <v>0</v>
      </c>
      <c r="AC396" t="s">
        <v>43</v>
      </c>
      <c r="AD396">
        <v>220.71</v>
      </c>
      <c r="AE396">
        <v>269</v>
      </c>
      <c r="AF396">
        <v>0</v>
      </c>
      <c r="AG396">
        <v>0</v>
      </c>
      <c r="AH396" t="s">
        <v>1088</v>
      </c>
      <c r="AI396" t="s">
        <v>43</v>
      </c>
    </row>
    <row r="397" spans="1:35" x14ac:dyDescent="0.25">
      <c r="A397">
        <v>623</v>
      </c>
      <c r="B397" t="s">
        <v>1089</v>
      </c>
      <c r="C397" t="s">
        <v>43</v>
      </c>
      <c r="D397">
        <v>17</v>
      </c>
      <c r="E397">
        <v>5000</v>
      </c>
      <c r="F397">
        <v>8</v>
      </c>
      <c r="G397">
        <v>2500</v>
      </c>
      <c r="H397">
        <v>0</v>
      </c>
      <c r="I397">
        <v>349</v>
      </c>
      <c r="J397">
        <v>0</v>
      </c>
      <c r="K397">
        <v>0</v>
      </c>
      <c r="L397">
        <v>0</v>
      </c>
      <c r="M397">
        <v>1</v>
      </c>
      <c r="N397">
        <v>2000</v>
      </c>
      <c r="O397">
        <v>4500</v>
      </c>
      <c r="P397">
        <v>20</v>
      </c>
      <c r="Q397">
        <v>45</v>
      </c>
      <c r="R397" t="s">
        <v>37</v>
      </c>
      <c r="S397" t="s">
        <v>1277</v>
      </c>
      <c r="T397" s="1">
        <v>43397.621562499997</v>
      </c>
      <c r="U397">
        <v>4</v>
      </c>
      <c r="V397" t="s">
        <v>55</v>
      </c>
      <c r="W397">
        <v>9</v>
      </c>
      <c r="X397" t="s">
        <v>45</v>
      </c>
      <c r="Y397">
        <v>52</v>
      </c>
      <c r="Z397">
        <v>0</v>
      </c>
      <c r="AA397" t="s">
        <v>46</v>
      </c>
      <c r="AB397">
        <v>0</v>
      </c>
      <c r="AC397" t="s">
        <v>43</v>
      </c>
      <c r="AD397">
        <v>25</v>
      </c>
      <c r="AE397">
        <v>50</v>
      </c>
      <c r="AF397">
        <v>0</v>
      </c>
      <c r="AG397">
        <v>0</v>
      </c>
      <c r="AH397" t="s">
        <v>1090</v>
      </c>
      <c r="AI397" t="s">
        <v>43</v>
      </c>
    </row>
    <row r="398" spans="1:35" x14ac:dyDescent="0.25">
      <c r="A398">
        <v>624</v>
      </c>
      <c r="B398" t="s">
        <v>1091</v>
      </c>
      <c r="C398" t="s">
        <v>1092</v>
      </c>
      <c r="D398">
        <v>11</v>
      </c>
      <c r="E398">
        <v>20994</v>
      </c>
      <c r="F398">
        <v>9</v>
      </c>
      <c r="G398">
        <v>16850</v>
      </c>
      <c r="H398">
        <v>0</v>
      </c>
      <c r="I398">
        <v>171</v>
      </c>
      <c r="J398">
        <v>0</v>
      </c>
      <c r="K398">
        <v>0</v>
      </c>
      <c r="L398">
        <v>0</v>
      </c>
      <c r="M398">
        <v>1</v>
      </c>
      <c r="N398">
        <v>2044.6</v>
      </c>
      <c r="O398">
        <v>18894.599999999999</v>
      </c>
      <c r="P398">
        <v>20.45</v>
      </c>
      <c r="Q398">
        <v>188.95</v>
      </c>
      <c r="R398" t="s">
        <v>37</v>
      </c>
      <c r="S398" t="s">
        <v>1277</v>
      </c>
      <c r="T398" s="1">
        <v>43397.621562499997</v>
      </c>
      <c r="U398">
        <v>4</v>
      </c>
      <c r="V398" t="s">
        <v>55</v>
      </c>
      <c r="W398">
        <v>6</v>
      </c>
      <c r="X398" t="s">
        <v>350</v>
      </c>
      <c r="Y398">
        <v>38</v>
      </c>
      <c r="Z398">
        <v>0</v>
      </c>
      <c r="AA398" t="s">
        <v>547</v>
      </c>
      <c r="AB398">
        <v>0</v>
      </c>
      <c r="AC398" t="s">
        <v>43</v>
      </c>
      <c r="AD398">
        <v>168.5</v>
      </c>
      <c r="AE398">
        <v>209.94</v>
      </c>
      <c r="AF398">
        <v>0</v>
      </c>
      <c r="AG398">
        <v>0</v>
      </c>
      <c r="AH398" t="s">
        <v>1093</v>
      </c>
    </row>
    <row r="399" spans="1:35" x14ac:dyDescent="0.25">
      <c r="A399">
        <v>625</v>
      </c>
      <c r="B399" t="s">
        <v>1094</v>
      </c>
      <c r="C399" t="s">
        <v>1095</v>
      </c>
      <c r="D399">
        <v>17</v>
      </c>
      <c r="E399">
        <v>13892</v>
      </c>
      <c r="F399">
        <v>15</v>
      </c>
      <c r="G399">
        <v>12001</v>
      </c>
      <c r="H399">
        <v>0</v>
      </c>
      <c r="I399">
        <v>152</v>
      </c>
      <c r="J399">
        <v>0</v>
      </c>
      <c r="K399">
        <v>0</v>
      </c>
      <c r="L399">
        <v>0</v>
      </c>
      <c r="M399">
        <v>1</v>
      </c>
      <c r="N399">
        <v>501.8</v>
      </c>
      <c r="O399">
        <v>12502.8</v>
      </c>
      <c r="P399">
        <v>5.0199999999999996</v>
      </c>
      <c r="Q399">
        <v>125.03</v>
      </c>
      <c r="R399" t="s">
        <v>37</v>
      </c>
      <c r="S399" t="s">
        <v>1277</v>
      </c>
      <c r="T399" s="1">
        <v>43397.621562499997</v>
      </c>
      <c r="U399">
        <v>2</v>
      </c>
      <c r="V399" t="s">
        <v>47</v>
      </c>
      <c r="W399">
        <v>1</v>
      </c>
      <c r="X399" t="s">
        <v>101</v>
      </c>
      <c r="Y399">
        <v>5</v>
      </c>
      <c r="Z399">
        <v>0</v>
      </c>
      <c r="AA399" t="s">
        <v>182</v>
      </c>
      <c r="AB399">
        <v>0</v>
      </c>
      <c r="AC399" t="s">
        <v>43</v>
      </c>
      <c r="AD399">
        <v>120.01</v>
      </c>
      <c r="AE399">
        <v>138.91999999999999</v>
      </c>
      <c r="AF399">
        <v>0</v>
      </c>
      <c r="AG399">
        <v>0</v>
      </c>
      <c r="AH399" t="s">
        <v>1096</v>
      </c>
    </row>
    <row r="400" spans="1:35" x14ac:dyDescent="0.25">
      <c r="A400">
        <v>626</v>
      </c>
      <c r="B400" t="s">
        <v>1097</v>
      </c>
      <c r="C400" t="s">
        <v>43</v>
      </c>
      <c r="D400">
        <v>11</v>
      </c>
      <c r="E400">
        <v>885</v>
      </c>
      <c r="F400">
        <v>10</v>
      </c>
      <c r="G400">
        <v>502</v>
      </c>
      <c r="H400">
        <v>0</v>
      </c>
      <c r="I400">
        <v>391</v>
      </c>
      <c r="J400">
        <v>0</v>
      </c>
      <c r="K400">
        <v>0</v>
      </c>
      <c r="L400">
        <v>0</v>
      </c>
      <c r="M400">
        <v>1</v>
      </c>
      <c r="N400">
        <v>294.5</v>
      </c>
      <c r="O400">
        <v>796.5</v>
      </c>
      <c r="P400">
        <v>2.95</v>
      </c>
      <c r="Q400">
        <v>7.97</v>
      </c>
      <c r="R400" t="s">
        <v>37</v>
      </c>
      <c r="S400" t="s">
        <v>1277</v>
      </c>
      <c r="T400" s="1">
        <v>43397.621562499997</v>
      </c>
      <c r="U400">
        <v>2</v>
      </c>
      <c r="V400" t="s">
        <v>47</v>
      </c>
      <c r="W400">
        <v>9</v>
      </c>
      <c r="X400" t="s">
        <v>45</v>
      </c>
      <c r="Y400">
        <v>52</v>
      </c>
      <c r="Z400">
        <v>0</v>
      </c>
      <c r="AA400" t="s">
        <v>46</v>
      </c>
      <c r="AB400">
        <v>0</v>
      </c>
      <c r="AC400" t="s">
        <v>43</v>
      </c>
      <c r="AD400">
        <v>5.0199999999999996</v>
      </c>
      <c r="AE400">
        <v>8.85</v>
      </c>
      <c r="AF400">
        <v>0</v>
      </c>
      <c r="AG400">
        <v>0</v>
      </c>
      <c r="AH400" t="s">
        <v>1098</v>
      </c>
      <c r="AI400" t="s">
        <v>43</v>
      </c>
    </row>
    <row r="401" spans="1:35" x14ac:dyDescent="0.25">
      <c r="A401">
        <v>627</v>
      </c>
      <c r="B401" t="s">
        <v>1099</v>
      </c>
      <c r="C401" t="s">
        <v>43</v>
      </c>
      <c r="D401">
        <v>51</v>
      </c>
      <c r="E401">
        <v>424</v>
      </c>
      <c r="F401">
        <v>25</v>
      </c>
      <c r="G401">
        <v>232</v>
      </c>
      <c r="H401">
        <v>0</v>
      </c>
      <c r="I401">
        <v>364</v>
      </c>
      <c r="J401">
        <v>0</v>
      </c>
      <c r="K401">
        <v>0</v>
      </c>
      <c r="L401">
        <v>0</v>
      </c>
      <c r="M401">
        <v>1</v>
      </c>
      <c r="N401">
        <v>149.6</v>
      </c>
      <c r="O401">
        <v>381.6</v>
      </c>
      <c r="P401">
        <v>1.5</v>
      </c>
      <c r="Q401">
        <v>3.82</v>
      </c>
      <c r="R401" t="s">
        <v>37</v>
      </c>
      <c r="S401" t="s">
        <v>1277</v>
      </c>
      <c r="T401" s="1">
        <v>43397.621562499997</v>
      </c>
      <c r="U401">
        <v>2</v>
      </c>
      <c r="V401" t="s">
        <v>47</v>
      </c>
      <c r="W401">
        <v>9</v>
      </c>
      <c r="X401" t="s">
        <v>45</v>
      </c>
      <c r="Y401">
        <v>52</v>
      </c>
      <c r="Z401">
        <v>0</v>
      </c>
      <c r="AA401" t="s">
        <v>46</v>
      </c>
      <c r="AB401">
        <v>0</v>
      </c>
      <c r="AC401" t="s">
        <v>43</v>
      </c>
      <c r="AD401">
        <v>2.3199999999999998</v>
      </c>
      <c r="AE401">
        <v>4.24</v>
      </c>
      <c r="AF401">
        <v>0</v>
      </c>
      <c r="AG401">
        <v>0</v>
      </c>
      <c r="AH401" t="s">
        <v>1100</v>
      </c>
      <c r="AI401" t="s">
        <v>43</v>
      </c>
    </row>
    <row r="402" spans="1:35" x14ac:dyDescent="0.25">
      <c r="A402">
        <v>628</v>
      </c>
      <c r="B402" t="s">
        <v>1101</v>
      </c>
      <c r="C402" t="s">
        <v>287</v>
      </c>
      <c r="D402">
        <v>5</v>
      </c>
      <c r="E402">
        <v>3810</v>
      </c>
      <c r="F402">
        <v>5</v>
      </c>
      <c r="G402">
        <v>2896</v>
      </c>
      <c r="H402">
        <v>0</v>
      </c>
      <c r="I402">
        <v>272</v>
      </c>
      <c r="J402">
        <v>0</v>
      </c>
      <c r="K402">
        <v>0</v>
      </c>
      <c r="L402">
        <v>0</v>
      </c>
      <c r="M402">
        <v>1</v>
      </c>
      <c r="N402">
        <v>533</v>
      </c>
      <c r="O402">
        <v>3429</v>
      </c>
      <c r="P402">
        <v>5.33</v>
      </c>
      <c r="Q402">
        <v>34.29</v>
      </c>
      <c r="R402" t="s">
        <v>37</v>
      </c>
      <c r="S402" t="s">
        <v>1277</v>
      </c>
      <c r="T402" s="1">
        <v>43397.621562499997</v>
      </c>
      <c r="U402">
        <v>5</v>
      </c>
      <c r="V402" t="s">
        <v>140</v>
      </c>
      <c r="W402">
        <v>7</v>
      </c>
      <c r="X402" t="s">
        <v>49</v>
      </c>
      <c r="Y402">
        <v>10</v>
      </c>
      <c r="Z402">
        <v>0</v>
      </c>
      <c r="AA402" t="s">
        <v>50</v>
      </c>
      <c r="AB402">
        <v>0</v>
      </c>
      <c r="AC402" t="s">
        <v>43</v>
      </c>
      <c r="AD402">
        <v>28.96</v>
      </c>
      <c r="AE402">
        <v>38.1</v>
      </c>
      <c r="AF402">
        <v>0</v>
      </c>
      <c r="AG402">
        <v>0</v>
      </c>
      <c r="AH402" t="s">
        <v>1102</v>
      </c>
      <c r="AI402" t="s">
        <v>43</v>
      </c>
    </row>
    <row r="403" spans="1:35" x14ac:dyDescent="0.25">
      <c r="A403">
        <v>629</v>
      </c>
      <c r="B403" t="s">
        <v>1103</v>
      </c>
      <c r="C403" t="s">
        <v>43</v>
      </c>
      <c r="D403">
        <v>14</v>
      </c>
      <c r="E403">
        <v>740</v>
      </c>
      <c r="F403">
        <v>5</v>
      </c>
      <c r="G403">
        <v>400</v>
      </c>
      <c r="H403">
        <v>0</v>
      </c>
      <c r="I403">
        <v>369</v>
      </c>
      <c r="J403">
        <v>0</v>
      </c>
      <c r="K403">
        <v>0</v>
      </c>
      <c r="L403">
        <v>0</v>
      </c>
      <c r="M403">
        <v>1</v>
      </c>
      <c r="N403">
        <v>266</v>
      </c>
      <c r="O403">
        <v>666</v>
      </c>
      <c r="P403">
        <v>2.66</v>
      </c>
      <c r="Q403">
        <v>6.66</v>
      </c>
      <c r="R403" t="s">
        <v>37</v>
      </c>
      <c r="S403" t="s">
        <v>1277</v>
      </c>
      <c r="T403" s="1">
        <v>43397.621562499997</v>
      </c>
      <c r="U403">
        <v>3</v>
      </c>
      <c r="V403" t="s">
        <v>38</v>
      </c>
      <c r="W403">
        <v>9</v>
      </c>
      <c r="X403" t="s">
        <v>45</v>
      </c>
      <c r="Y403">
        <v>52</v>
      </c>
      <c r="Z403">
        <v>0</v>
      </c>
      <c r="AA403" t="s">
        <v>46</v>
      </c>
      <c r="AB403">
        <v>0</v>
      </c>
      <c r="AC403" t="s">
        <v>43</v>
      </c>
      <c r="AD403">
        <v>4</v>
      </c>
      <c r="AE403">
        <v>7.4</v>
      </c>
      <c r="AF403">
        <v>0</v>
      </c>
      <c r="AG403">
        <v>0</v>
      </c>
      <c r="AH403" t="s">
        <v>1104</v>
      </c>
      <c r="AI403" t="s">
        <v>43</v>
      </c>
    </row>
    <row r="404" spans="1:35" x14ac:dyDescent="0.25">
      <c r="A404">
        <v>630</v>
      </c>
      <c r="B404" t="s">
        <v>1105</v>
      </c>
      <c r="C404" t="s">
        <v>43</v>
      </c>
      <c r="D404">
        <v>36</v>
      </c>
      <c r="E404">
        <v>96</v>
      </c>
      <c r="F404">
        <v>4</v>
      </c>
      <c r="G404">
        <v>37</v>
      </c>
      <c r="H404">
        <v>0</v>
      </c>
      <c r="I404">
        <v>416</v>
      </c>
      <c r="J404">
        <v>0</v>
      </c>
      <c r="K404">
        <v>0</v>
      </c>
      <c r="L404">
        <v>0</v>
      </c>
      <c r="M404">
        <v>1</v>
      </c>
      <c r="N404">
        <v>49.4</v>
      </c>
      <c r="O404">
        <v>86.4</v>
      </c>
      <c r="P404">
        <v>0.49</v>
      </c>
      <c r="Q404">
        <v>0.86</v>
      </c>
      <c r="R404" t="s">
        <v>37</v>
      </c>
      <c r="S404" t="s">
        <v>1277</v>
      </c>
      <c r="T404" s="1">
        <v>43397.621562499997</v>
      </c>
      <c r="U404">
        <v>1</v>
      </c>
      <c r="V404" t="s">
        <v>44</v>
      </c>
      <c r="W404">
        <v>9</v>
      </c>
      <c r="X404" t="s">
        <v>45</v>
      </c>
      <c r="Y404">
        <v>52</v>
      </c>
      <c r="Z404">
        <v>0</v>
      </c>
      <c r="AA404" t="s">
        <v>46</v>
      </c>
      <c r="AB404">
        <v>0</v>
      </c>
      <c r="AC404" t="s">
        <v>43</v>
      </c>
      <c r="AD404">
        <v>0.37</v>
      </c>
      <c r="AE404">
        <v>0.96</v>
      </c>
      <c r="AF404">
        <v>0</v>
      </c>
      <c r="AG404">
        <v>0</v>
      </c>
      <c r="AH404" t="s">
        <v>1106</v>
      </c>
      <c r="AI404" t="s">
        <v>43</v>
      </c>
    </row>
    <row r="405" spans="1:35" x14ac:dyDescent="0.25">
      <c r="A405">
        <v>631</v>
      </c>
      <c r="B405" t="s">
        <v>1107</v>
      </c>
      <c r="C405" t="s">
        <v>43</v>
      </c>
      <c r="D405">
        <v>19</v>
      </c>
      <c r="E405">
        <v>1657</v>
      </c>
      <c r="F405">
        <v>6</v>
      </c>
      <c r="G405">
        <v>865</v>
      </c>
      <c r="H405">
        <v>0</v>
      </c>
      <c r="I405">
        <v>348</v>
      </c>
      <c r="J405">
        <v>0</v>
      </c>
      <c r="K405">
        <v>0</v>
      </c>
      <c r="L405">
        <v>0</v>
      </c>
      <c r="M405">
        <v>1</v>
      </c>
      <c r="N405">
        <v>626.29999999999995</v>
      </c>
      <c r="O405">
        <v>1491.3</v>
      </c>
      <c r="P405">
        <v>6.26</v>
      </c>
      <c r="Q405">
        <v>14.91</v>
      </c>
      <c r="R405" t="s">
        <v>37</v>
      </c>
      <c r="S405" t="s">
        <v>1277</v>
      </c>
      <c r="T405" s="1">
        <v>43397.621562499997</v>
      </c>
      <c r="U405">
        <v>3</v>
      </c>
      <c r="V405" t="s">
        <v>38</v>
      </c>
      <c r="W405">
        <v>9</v>
      </c>
      <c r="X405" t="s">
        <v>45</v>
      </c>
      <c r="Y405">
        <v>52</v>
      </c>
      <c r="Z405">
        <v>0</v>
      </c>
      <c r="AA405" t="s">
        <v>46</v>
      </c>
      <c r="AB405">
        <v>0</v>
      </c>
      <c r="AC405" t="s">
        <v>43</v>
      </c>
      <c r="AD405">
        <v>8.65</v>
      </c>
      <c r="AE405">
        <v>16.57</v>
      </c>
      <c r="AF405">
        <v>0</v>
      </c>
      <c r="AG405">
        <v>0</v>
      </c>
      <c r="AH405" t="s">
        <v>1108</v>
      </c>
      <c r="AI405" t="s">
        <v>43</v>
      </c>
    </row>
    <row r="406" spans="1:35" x14ac:dyDescent="0.25">
      <c r="A406">
        <v>632</v>
      </c>
      <c r="B406" t="s">
        <v>1109</v>
      </c>
      <c r="C406" t="s">
        <v>43</v>
      </c>
      <c r="D406">
        <v>91</v>
      </c>
      <c r="E406">
        <v>99</v>
      </c>
      <c r="F406">
        <v>37</v>
      </c>
      <c r="G406">
        <v>54</v>
      </c>
      <c r="H406">
        <v>0</v>
      </c>
      <c r="I406">
        <v>412</v>
      </c>
      <c r="J406">
        <v>0</v>
      </c>
      <c r="K406">
        <v>0</v>
      </c>
      <c r="L406">
        <v>0</v>
      </c>
      <c r="M406">
        <v>1</v>
      </c>
      <c r="N406">
        <v>35.1</v>
      </c>
      <c r="O406">
        <v>89.1</v>
      </c>
      <c r="P406">
        <v>0.35</v>
      </c>
      <c r="Q406">
        <v>0.89</v>
      </c>
      <c r="R406" t="s">
        <v>37</v>
      </c>
      <c r="S406" t="s">
        <v>1277</v>
      </c>
      <c r="T406" s="1">
        <v>43397.621562499997</v>
      </c>
      <c r="U406">
        <v>2</v>
      </c>
      <c r="V406" t="s">
        <v>47</v>
      </c>
      <c r="W406">
        <v>9</v>
      </c>
      <c r="X406" t="s">
        <v>45</v>
      </c>
      <c r="Y406">
        <v>52</v>
      </c>
      <c r="Z406">
        <v>0</v>
      </c>
      <c r="AA406" t="s">
        <v>46</v>
      </c>
      <c r="AB406">
        <v>0</v>
      </c>
      <c r="AC406" t="s">
        <v>43</v>
      </c>
      <c r="AD406">
        <v>0.54</v>
      </c>
      <c r="AE406">
        <v>0.99</v>
      </c>
      <c r="AF406">
        <v>0</v>
      </c>
      <c r="AG406">
        <v>0</v>
      </c>
      <c r="AH406" t="s">
        <v>1110</v>
      </c>
      <c r="AI406" t="s">
        <v>43</v>
      </c>
    </row>
    <row r="407" spans="1:35" x14ac:dyDescent="0.25">
      <c r="A407">
        <v>633</v>
      </c>
      <c r="B407" t="s">
        <v>1111</v>
      </c>
      <c r="C407" t="s">
        <v>43</v>
      </c>
      <c r="D407">
        <v>36</v>
      </c>
      <c r="E407">
        <v>190</v>
      </c>
      <c r="F407">
        <v>16</v>
      </c>
      <c r="G407">
        <v>90</v>
      </c>
      <c r="H407">
        <v>0</v>
      </c>
      <c r="I407">
        <v>399</v>
      </c>
      <c r="J407">
        <v>0</v>
      </c>
      <c r="K407">
        <v>0</v>
      </c>
      <c r="L407">
        <v>0</v>
      </c>
      <c r="M407">
        <v>1</v>
      </c>
      <c r="N407">
        <v>81</v>
      </c>
      <c r="O407">
        <v>171</v>
      </c>
      <c r="P407">
        <v>0.81</v>
      </c>
      <c r="Q407">
        <v>1.71</v>
      </c>
      <c r="R407" t="s">
        <v>37</v>
      </c>
      <c r="S407" t="s">
        <v>1277</v>
      </c>
      <c r="T407" s="1">
        <v>43397.621562499997</v>
      </c>
      <c r="U407">
        <v>3</v>
      </c>
      <c r="V407" t="s">
        <v>38</v>
      </c>
      <c r="W407">
        <v>9</v>
      </c>
      <c r="X407" t="s">
        <v>45</v>
      </c>
      <c r="Y407">
        <v>52</v>
      </c>
      <c r="Z407">
        <v>0</v>
      </c>
      <c r="AA407" t="s">
        <v>46</v>
      </c>
      <c r="AB407">
        <v>0</v>
      </c>
      <c r="AC407" t="s">
        <v>43</v>
      </c>
      <c r="AD407">
        <v>0.9</v>
      </c>
      <c r="AE407">
        <v>1.9</v>
      </c>
      <c r="AF407">
        <v>0</v>
      </c>
      <c r="AG407">
        <v>0</v>
      </c>
      <c r="AH407" t="s">
        <v>1112</v>
      </c>
      <c r="AI407" t="s">
        <v>43</v>
      </c>
    </row>
    <row r="408" spans="1:35" x14ac:dyDescent="0.25">
      <c r="A408">
        <v>634</v>
      </c>
      <c r="B408" t="s">
        <v>1113</v>
      </c>
      <c r="C408" t="s">
        <v>43</v>
      </c>
      <c r="D408">
        <v>24</v>
      </c>
      <c r="E408">
        <v>900</v>
      </c>
      <c r="F408">
        <v>8</v>
      </c>
      <c r="G408">
        <v>465</v>
      </c>
      <c r="H408">
        <v>0</v>
      </c>
      <c r="I408">
        <v>354</v>
      </c>
      <c r="J408">
        <v>0</v>
      </c>
      <c r="K408">
        <v>0</v>
      </c>
      <c r="L408">
        <v>0</v>
      </c>
      <c r="M408">
        <v>1</v>
      </c>
      <c r="N408">
        <v>345</v>
      </c>
      <c r="O408">
        <v>810</v>
      </c>
      <c r="P408">
        <v>3.45</v>
      </c>
      <c r="Q408">
        <v>8.1</v>
      </c>
      <c r="R408" t="s">
        <v>37</v>
      </c>
      <c r="S408" t="s">
        <v>1277</v>
      </c>
      <c r="T408" s="1">
        <v>43397.621562499997</v>
      </c>
      <c r="U408">
        <v>4</v>
      </c>
      <c r="V408" t="s">
        <v>55</v>
      </c>
      <c r="W408">
        <v>9</v>
      </c>
      <c r="X408" t="s">
        <v>45</v>
      </c>
      <c r="Y408">
        <v>52</v>
      </c>
      <c r="Z408">
        <v>0</v>
      </c>
      <c r="AA408" t="s">
        <v>46</v>
      </c>
      <c r="AB408">
        <v>0</v>
      </c>
      <c r="AC408" t="s">
        <v>43</v>
      </c>
      <c r="AD408">
        <v>4.6500000000000004</v>
      </c>
      <c r="AE408">
        <v>9</v>
      </c>
      <c r="AF408">
        <v>0</v>
      </c>
      <c r="AG408">
        <v>0</v>
      </c>
      <c r="AH408" t="s">
        <v>1114</v>
      </c>
      <c r="AI408" t="s">
        <v>43</v>
      </c>
    </row>
    <row r="409" spans="1:35" x14ac:dyDescent="0.25">
      <c r="A409">
        <v>635</v>
      </c>
      <c r="B409" t="s">
        <v>1115</v>
      </c>
      <c r="C409" t="s">
        <v>43</v>
      </c>
      <c r="D409">
        <v>59</v>
      </c>
      <c r="E409">
        <v>193</v>
      </c>
      <c r="F409">
        <v>29</v>
      </c>
      <c r="G409">
        <v>60</v>
      </c>
      <c r="H409">
        <v>0</v>
      </c>
      <c r="I409">
        <v>406</v>
      </c>
      <c r="J409">
        <v>0</v>
      </c>
      <c r="K409">
        <v>0</v>
      </c>
      <c r="L409">
        <v>0</v>
      </c>
      <c r="M409">
        <v>1</v>
      </c>
      <c r="N409">
        <v>113.7</v>
      </c>
      <c r="O409">
        <v>173.7</v>
      </c>
      <c r="P409">
        <v>1.1399999999999999</v>
      </c>
      <c r="Q409">
        <v>1.74</v>
      </c>
      <c r="R409" t="s">
        <v>37</v>
      </c>
      <c r="S409" t="s">
        <v>1277</v>
      </c>
      <c r="T409" s="1">
        <v>43397.621562499997</v>
      </c>
      <c r="U409">
        <v>2</v>
      </c>
      <c r="V409" t="s">
        <v>47</v>
      </c>
      <c r="W409">
        <v>9</v>
      </c>
      <c r="X409" t="s">
        <v>45</v>
      </c>
      <c r="Y409">
        <v>52</v>
      </c>
      <c r="Z409">
        <v>0</v>
      </c>
      <c r="AA409" t="s">
        <v>46</v>
      </c>
      <c r="AB409">
        <v>0</v>
      </c>
      <c r="AC409" t="s">
        <v>43</v>
      </c>
      <c r="AD409">
        <v>0.6</v>
      </c>
      <c r="AE409">
        <v>1.93</v>
      </c>
      <c r="AF409">
        <v>0</v>
      </c>
      <c r="AG409">
        <v>0</v>
      </c>
      <c r="AH409" t="s">
        <v>1116</v>
      </c>
      <c r="AI409" t="s">
        <v>43</v>
      </c>
    </row>
    <row r="410" spans="1:35" x14ac:dyDescent="0.25">
      <c r="A410">
        <v>636</v>
      </c>
      <c r="B410" t="s">
        <v>1117</v>
      </c>
      <c r="C410" t="s">
        <v>43</v>
      </c>
      <c r="D410">
        <v>46</v>
      </c>
      <c r="E410">
        <v>300</v>
      </c>
      <c r="F410">
        <v>13</v>
      </c>
      <c r="G410">
        <v>162</v>
      </c>
      <c r="H410">
        <v>0</v>
      </c>
      <c r="I410">
        <v>404</v>
      </c>
      <c r="J410">
        <v>0</v>
      </c>
      <c r="K410">
        <v>0</v>
      </c>
      <c r="L410">
        <v>0</v>
      </c>
      <c r="M410">
        <v>1</v>
      </c>
      <c r="N410">
        <v>108</v>
      </c>
      <c r="O410">
        <v>270</v>
      </c>
      <c r="P410">
        <v>1.08</v>
      </c>
      <c r="Q410">
        <v>2.7</v>
      </c>
      <c r="R410" t="s">
        <v>37</v>
      </c>
      <c r="S410" t="s">
        <v>1277</v>
      </c>
      <c r="T410" s="1">
        <v>43397.621562499997</v>
      </c>
      <c r="U410">
        <v>3</v>
      </c>
      <c r="V410" t="s">
        <v>38</v>
      </c>
      <c r="W410">
        <v>9</v>
      </c>
      <c r="X410" t="s">
        <v>45</v>
      </c>
      <c r="Y410">
        <v>52</v>
      </c>
      <c r="Z410">
        <v>0</v>
      </c>
      <c r="AA410" t="s">
        <v>46</v>
      </c>
      <c r="AB410">
        <v>0</v>
      </c>
      <c r="AC410" t="s">
        <v>43</v>
      </c>
      <c r="AD410">
        <v>1.62</v>
      </c>
      <c r="AE410">
        <v>3</v>
      </c>
      <c r="AF410">
        <v>0</v>
      </c>
      <c r="AG410">
        <v>0</v>
      </c>
      <c r="AH410" t="s">
        <v>1118</v>
      </c>
      <c r="AI410" t="s">
        <v>43</v>
      </c>
    </row>
    <row r="411" spans="1:35" x14ac:dyDescent="0.25">
      <c r="A411">
        <v>637</v>
      </c>
      <c r="B411" t="s">
        <v>1119</v>
      </c>
      <c r="C411" t="s">
        <v>1120</v>
      </c>
      <c r="D411">
        <v>17</v>
      </c>
      <c r="E411">
        <v>51489</v>
      </c>
      <c r="F411">
        <v>21</v>
      </c>
      <c r="G411">
        <v>49005</v>
      </c>
      <c r="H411">
        <v>0</v>
      </c>
      <c r="I411">
        <v>95</v>
      </c>
      <c r="J411">
        <v>0</v>
      </c>
      <c r="K411">
        <v>0</v>
      </c>
      <c r="L411">
        <v>0</v>
      </c>
      <c r="M411">
        <v>1</v>
      </c>
      <c r="N411">
        <v>-2664.9</v>
      </c>
      <c r="O411">
        <v>46340.1</v>
      </c>
      <c r="P411">
        <v>-26.65</v>
      </c>
      <c r="Q411">
        <v>463.4</v>
      </c>
      <c r="R411" t="s">
        <v>37</v>
      </c>
      <c r="S411" t="s">
        <v>1277</v>
      </c>
      <c r="T411" s="1">
        <v>43397.621562499997</v>
      </c>
      <c r="U411">
        <v>3</v>
      </c>
      <c r="V411" t="s">
        <v>38</v>
      </c>
      <c r="W411">
        <v>1</v>
      </c>
      <c r="X411" t="s">
        <v>101</v>
      </c>
      <c r="Y411">
        <v>55</v>
      </c>
      <c r="Z411">
        <v>0</v>
      </c>
      <c r="AA411" t="s">
        <v>169</v>
      </c>
      <c r="AB411">
        <v>0</v>
      </c>
      <c r="AC411" t="s">
        <v>43</v>
      </c>
      <c r="AD411">
        <v>490.05</v>
      </c>
      <c r="AE411">
        <v>514.89</v>
      </c>
      <c r="AF411">
        <v>0</v>
      </c>
      <c r="AG411">
        <v>0</v>
      </c>
      <c r="AH411" t="s">
        <v>1121</v>
      </c>
    </row>
    <row r="412" spans="1:35" x14ac:dyDescent="0.25">
      <c r="A412">
        <v>638</v>
      </c>
      <c r="B412" t="s">
        <v>1122</v>
      </c>
      <c r="C412" t="s">
        <v>287</v>
      </c>
      <c r="D412">
        <v>10</v>
      </c>
      <c r="E412">
        <v>1600</v>
      </c>
      <c r="F412">
        <v>14</v>
      </c>
      <c r="G412">
        <v>1092</v>
      </c>
      <c r="H412">
        <v>0</v>
      </c>
      <c r="I412">
        <v>285</v>
      </c>
      <c r="J412">
        <v>0</v>
      </c>
      <c r="K412">
        <v>0</v>
      </c>
      <c r="L412">
        <v>0</v>
      </c>
      <c r="M412">
        <v>1</v>
      </c>
      <c r="N412">
        <v>348</v>
      </c>
      <c r="O412">
        <v>1440</v>
      </c>
      <c r="P412">
        <v>3.48</v>
      </c>
      <c r="Q412">
        <v>14.4</v>
      </c>
      <c r="R412" t="s">
        <v>37</v>
      </c>
      <c r="S412" t="s">
        <v>1277</v>
      </c>
      <c r="T412" s="1">
        <v>43397.621562499997</v>
      </c>
      <c r="U412">
        <v>4</v>
      </c>
      <c r="V412" t="s">
        <v>55</v>
      </c>
      <c r="W412">
        <v>7</v>
      </c>
      <c r="X412" t="s">
        <v>49</v>
      </c>
      <c r="Y412">
        <v>10</v>
      </c>
      <c r="Z412">
        <v>0</v>
      </c>
      <c r="AA412" t="s">
        <v>50</v>
      </c>
      <c r="AB412">
        <v>0</v>
      </c>
      <c r="AC412" t="s">
        <v>43</v>
      </c>
      <c r="AD412">
        <v>10.92</v>
      </c>
      <c r="AE412">
        <v>16</v>
      </c>
      <c r="AF412">
        <v>0</v>
      </c>
      <c r="AG412">
        <v>0</v>
      </c>
      <c r="AH412" t="s">
        <v>1123</v>
      </c>
      <c r="AI412" t="s">
        <v>43</v>
      </c>
    </row>
    <row r="413" spans="1:35" x14ac:dyDescent="0.25">
      <c r="A413">
        <v>639</v>
      </c>
      <c r="B413" t="s">
        <v>1124</v>
      </c>
      <c r="C413" t="s">
        <v>43</v>
      </c>
      <c r="D413">
        <v>68</v>
      </c>
      <c r="E413">
        <v>1266</v>
      </c>
      <c r="F413">
        <v>37</v>
      </c>
      <c r="G413">
        <v>700</v>
      </c>
      <c r="H413">
        <v>0</v>
      </c>
      <c r="I413">
        <v>347</v>
      </c>
      <c r="J413">
        <v>0</v>
      </c>
      <c r="K413">
        <v>0</v>
      </c>
      <c r="L413">
        <v>0</v>
      </c>
      <c r="M413">
        <v>1</v>
      </c>
      <c r="N413">
        <v>439.4</v>
      </c>
      <c r="O413">
        <v>1139.4000000000001</v>
      </c>
      <c r="P413">
        <v>4.3899999999999997</v>
      </c>
      <c r="Q413">
        <v>11.39</v>
      </c>
      <c r="R413" t="s">
        <v>37</v>
      </c>
      <c r="S413" t="s">
        <v>1277</v>
      </c>
      <c r="T413" s="1">
        <v>43397.621562499997</v>
      </c>
      <c r="U413">
        <v>5</v>
      </c>
      <c r="V413" t="s">
        <v>140</v>
      </c>
      <c r="W413">
        <v>9</v>
      </c>
      <c r="X413" t="s">
        <v>45</v>
      </c>
      <c r="Y413">
        <v>52</v>
      </c>
      <c r="Z413">
        <v>0</v>
      </c>
      <c r="AA413" t="s">
        <v>46</v>
      </c>
      <c r="AB413">
        <v>0</v>
      </c>
      <c r="AC413" t="s">
        <v>43</v>
      </c>
      <c r="AD413">
        <v>7</v>
      </c>
      <c r="AE413">
        <v>12.66</v>
      </c>
      <c r="AF413">
        <v>0</v>
      </c>
      <c r="AG413">
        <v>0</v>
      </c>
      <c r="AH413" t="s">
        <v>1125</v>
      </c>
      <c r="AI413" t="s">
        <v>43</v>
      </c>
    </row>
    <row r="414" spans="1:35" x14ac:dyDescent="0.25">
      <c r="A414">
        <v>640</v>
      </c>
      <c r="B414" t="s">
        <v>1126</v>
      </c>
      <c r="C414" t="s">
        <v>43</v>
      </c>
      <c r="D414">
        <v>14</v>
      </c>
      <c r="E414">
        <v>199</v>
      </c>
      <c r="F414">
        <v>11</v>
      </c>
      <c r="G414">
        <v>42</v>
      </c>
      <c r="H414">
        <v>0</v>
      </c>
      <c r="I414">
        <v>414</v>
      </c>
      <c r="J414">
        <v>0</v>
      </c>
      <c r="K414">
        <v>0</v>
      </c>
      <c r="L414">
        <v>0</v>
      </c>
      <c r="M414">
        <v>1</v>
      </c>
      <c r="N414">
        <v>137.1</v>
      </c>
      <c r="O414">
        <v>179.1</v>
      </c>
      <c r="P414">
        <v>1.37</v>
      </c>
      <c r="Q414">
        <v>1.79</v>
      </c>
      <c r="R414" t="s">
        <v>37</v>
      </c>
      <c r="S414" t="s">
        <v>1277</v>
      </c>
      <c r="T414" s="1">
        <v>43397.621562499997</v>
      </c>
      <c r="U414">
        <v>1</v>
      </c>
      <c r="V414" t="s">
        <v>44</v>
      </c>
      <c r="W414">
        <v>9</v>
      </c>
      <c r="X414" t="s">
        <v>45</v>
      </c>
      <c r="Y414">
        <v>52</v>
      </c>
      <c r="Z414">
        <v>0</v>
      </c>
      <c r="AA414" t="s">
        <v>46</v>
      </c>
      <c r="AB414">
        <v>0</v>
      </c>
      <c r="AC414" t="s">
        <v>43</v>
      </c>
      <c r="AD414">
        <v>0.42</v>
      </c>
      <c r="AE414">
        <v>1.99</v>
      </c>
      <c r="AF414">
        <v>0</v>
      </c>
      <c r="AG414">
        <v>0</v>
      </c>
      <c r="AH414" t="s">
        <v>1127</v>
      </c>
      <c r="AI414" t="s">
        <v>43</v>
      </c>
    </row>
    <row r="415" spans="1:35" x14ac:dyDescent="0.25">
      <c r="A415">
        <v>641</v>
      </c>
      <c r="B415" t="s">
        <v>1128</v>
      </c>
      <c r="C415" t="s">
        <v>43</v>
      </c>
      <c r="D415">
        <v>8</v>
      </c>
      <c r="E415">
        <v>769</v>
      </c>
      <c r="F415">
        <v>23</v>
      </c>
      <c r="G415">
        <v>241</v>
      </c>
      <c r="H415">
        <v>0</v>
      </c>
      <c r="I415">
        <v>357</v>
      </c>
      <c r="J415">
        <v>0</v>
      </c>
      <c r="K415">
        <v>0</v>
      </c>
      <c r="L415">
        <v>0</v>
      </c>
      <c r="M415">
        <v>1</v>
      </c>
      <c r="N415">
        <v>451.1</v>
      </c>
      <c r="O415">
        <v>692.1</v>
      </c>
      <c r="P415">
        <v>4.51</v>
      </c>
      <c r="Q415">
        <v>6.92</v>
      </c>
      <c r="R415" t="s">
        <v>37</v>
      </c>
      <c r="S415" t="s">
        <v>1277</v>
      </c>
      <c r="T415" s="1">
        <v>43397.621562499997</v>
      </c>
      <c r="U415">
        <v>2</v>
      </c>
      <c r="V415" t="s">
        <v>47</v>
      </c>
      <c r="W415">
        <v>9</v>
      </c>
      <c r="X415" t="s">
        <v>45</v>
      </c>
      <c r="Y415">
        <v>52</v>
      </c>
      <c r="Z415">
        <v>0</v>
      </c>
      <c r="AA415" t="s">
        <v>46</v>
      </c>
      <c r="AB415">
        <v>0</v>
      </c>
      <c r="AC415" t="s">
        <v>43</v>
      </c>
      <c r="AD415">
        <v>2.41</v>
      </c>
      <c r="AE415">
        <v>7.69</v>
      </c>
      <c r="AF415">
        <v>0</v>
      </c>
      <c r="AG415">
        <v>0</v>
      </c>
      <c r="AH415" t="s">
        <v>1129</v>
      </c>
      <c r="AI415" t="s">
        <v>43</v>
      </c>
    </row>
    <row r="416" spans="1:35" x14ac:dyDescent="0.25">
      <c r="A416">
        <v>642</v>
      </c>
      <c r="B416" t="s">
        <v>1130</v>
      </c>
      <c r="C416" t="s">
        <v>43</v>
      </c>
      <c r="D416">
        <v>0</v>
      </c>
      <c r="E416">
        <v>0</v>
      </c>
      <c r="F416">
        <v>31</v>
      </c>
      <c r="G416">
        <v>5000</v>
      </c>
      <c r="H416">
        <v>0</v>
      </c>
      <c r="I416">
        <v>430</v>
      </c>
      <c r="J416">
        <v>0</v>
      </c>
      <c r="K416">
        <v>0</v>
      </c>
      <c r="L416">
        <v>0</v>
      </c>
      <c r="M416">
        <v>1</v>
      </c>
      <c r="N416">
        <v>-5000</v>
      </c>
      <c r="O416">
        <v>0</v>
      </c>
      <c r="P416">
        <v>-50</v>
      </c>
      <c r="Q416">
        <v>0</v>
      </c>
      <c r="R416" t="s">
        <v>37</v>
      </c>
      <c r="S416" t="s">
        <v>1277</v>
      </c>
      <c r="T416" s="1">
        <v>43397.621562499997</v>
      </c>
      <c r="U416">
        <v>4</v>
      </c>
      <c r="V416" t="s">
        <v>55</v>
      </c>
      <c r="W416">
        <v>9</v>
      </c>
      <c r="X416" t="s">
        <v>45</v>
      </c>
      <c r="Y416">
        <v>52</v>
      </c>
      <c r="Z416">
        <v>0</v>
      </c>
      <c r="AA416" t="s">
        <v>46</v>
      </c>
      <c r="AB416">
        <v>0</v>
      </c>
      <c r="AC416" t="s">
        <v>43</v>
      </c>
      <c r="AD416">
        <v>50</v>
      </c>
      <c r="AE416">
        <v>0</v>
      </c>
      <c r="AF416">
        <v>0</v>
      </c>
      <c r="AG416">
        <v>0</v>
      </c>
      <c r="AH416" t="s">
        <v>1131</v>
      </c>
      <c r="AI416" t="s">
        <v>43</v>
      </c>
    </row>
    <row r="417" spans="1:35" x14ac:dyDescent="0.25">
      <c r="A417">
        <v>643</v>
      </c>
      <c r="B417" t="s">
        <v>1132</v>
      </c>
      <c r="C417" t="s">
        <v>43</v>
      </c>
      <c r="D417">
        <v>0</v>
      </c>
      <c r="E417">
        <v>0</v>
      </c>
      <c r="F417">
        <v>37</v>
      </c>
      <c r="G417">
        <v>125</v>
      </c>
      <c r="H417">
        <v>0</v>
      </c>
      <c r="I417">
        <v>435</v>
      </c>
      <c r="J417">
        <v>0</v>
      </c>
      <c r="K417">
        <v>0</v>
      </c>
      <c r="L417">
        <v>0</v>
      </c>
      <c r="M417">
        <v>1</v>
      </c>
      <c r="N417">
        <v>-125</v>
      </c>
      <c r="O417">
        <v>0</v>
      </c>
      <c r="P417">
        <v>-1.25</v>
      </c>
      <c r="Q417">
        <v>0</v>
      </c>
      <c r="R417" t="s">
        <v>37</v>
      </c>
      <c r="S417" t="s">
        <v>1277</v>
      </c>
      <c r="T417" s="1">
        <v>43397.621562499997</v>
      </c>
      <c r="U417">
        <v>4</v>
      </c>
      <c r="V417" t="s">
        <v>55</v>
      </c>
      <c r="W417">
        <v>9</v>
      </c>
      <c r="X417" t="s">
        <v>45</v>
      </c>
      <c r="Y417">
        <v>52</v>
      </c>
      <c r="Z417">
        <v>0</v>
      </c>
      <c r="AA417" t="s">
        <v>46</v>
      </c>
      <c r="AB417">
        <v>0</v>
      </c>
      <c r="AC417" t="s">
        <v>43</v>
      </c>
      <c r="AD417">
        <v>1.25</v>
      </c>
      <c r="AE417">
        <v>0</v>
      </c>
      <c r="AF417">
        <v>0</v>
      </c>
      <c r="AG417">
        <v>0</v>
      </c>
      <c r="AH417" t="s">
        <v>1133</v>
      </c>
      <c r="AI417" t="s">
        <v>43</v>
      </c>
    </row>
    <row r="418" spans="1:35" x14ac:dyDescent="0.25">
      <c r="A418">
        <v>644</v>
      </c>
      <c r="B418" t="s">
        <v>1134</v>
      </c>
      <c r="C418" t="s">
        <v>43</v>
      </c>
      <c r="D418">
        <v>5</v>
      </c>
      <c r="E418">
        <v>200</v>
      </c>
      <c r="F418">
        <v>19</v>
      </c>
      <c r="G418">
        <v>135</v>
      </c>
      <c r="H418">
        <v>0</v>
      </c>
      <c r="I418">
        <v>409</v>
      </c>
      <c r="J418">
        <v>0</v>
      </c>
      <c r="K418">
        <v>0</v>
      </c>
      <c r="L418">
        <v>0</v>
      </c>
      <c r="M418">
        <v>1</v>
      </c>
      <c r="N418">
        <v>45</v>
      </c>
      <c r="O418">
        <v>180</v>
      </c>
      <c r="P418">
        <v>0.45</v>
      </c>
      <c r="Q418">
        <v>1.8</v>
      </c>
      <c r="R418" t="s">
        <v>37</v>
      </c>
      <c r="S418" t="s">
        <v>1277</v>
      </c>
      <c r="T418" s="1">
        <v>43397.621562499997</v>
      </c>
      <c r="U418">
        <v>1</v>
      </c>
      <c r="V418" t="s">
        <v>44</v>
      </c>
      <c r="W418">
        <v>9</v>
      </c>
      <c r="X418" t="s">
        <v>45</v>
      </c>
      <c r="Y418">
        <v>52</v>
      </c>
      <c r="Z418">
        <v>0</v>
      </c>
      <c r="AA418" t="s">
        <v>46</v>
      </c>
      <c r="AB418">
        <v>0</v>
      </c>
      <c r="AC418" t="s">
        <v>43</v>
      </c>
      <c r="AD418">
        <v>1.35</v>
      </c>
      <c r="AE418">
        <v>2</v>
      </c>
      <c r="AF418">
        <v>0</v>
      </c>
      <c r="AG418">
        <v>0</v>
      </c>
      <c r="AH418" t="s">
        <v>1135</v>
      </c>
      <c r="AI418" t="s">
        <v>43</v>
      </c>
    </row>
    <row r="419" spans="1:35" x14ac:dyDescent="0.25">
      <c r="A419">
        <v>645</v>
      </c>
      <c r="B419" t="s">
        <v>1136</v>
      </c>
      <c r="C419" t="s">
        <v>43</v>
      </c>
      <c r="D419">
        <v>36</v>
      </c>
      <c r="E419">
        <v>155</v>
      </c>
      <c r="F419">
        <v>10</v>
      </c>
      <c r="G419">
        <v>93</v>
      </c>
      <c r="H419">
        <v>0</v>
      </c>
      <c r="I419">
        <v>407</v>
      </c>
      <c r="J419">
        <v>0</v>
      </c>
      <c r="K419">
        <v>0</v>
      </c>
      <c r="L419">
        <v>0</v>
      </c>
      <c r="M419">
        <v>1</v>
      </c>
      <c r="N419">
        <v>46.5</v>
      </c>
      <c r="O419">
        <v>139.5</v>
      </c>
      <c r="P419">
        <v>0.47</v>
      </c>
      <c r="Q419">
        <v>1.4</v>
      </c>
      <c r="R419" t="s">
        <v>37</v>
      </c>
      <c r="S419" t="s">
        <v>1277</v>
      </c>
      <c r="T419" s="1">
        <v>43397.621562499997</v>
      </c>
      <c r="U419">
        <v>2</v>
      </c>
      <c r="V419" t="s">
        <v>47</v>
      </c>
      <c r="W419">
        <v>9</v>
      </c>
      <c r="X419" t="s">
        <v>45</v>
      </c>
      <c r="Y419">
        <v>52</v>
      </c>
      <c r="Z419">
        <v>0</v>
      </c>
      <c r="AA419" t="s">
        <v>46</v>
      </c>
      <c r="AB419">
        <v>0</v>
      </c>
      <c r="AC419" t="s">
        <v>43</v>
      </c>
      <c r="AD419">
        <v>0.93</v>
      </c>
      <c r="AE419">
        <v>1.55</v>
      </c>
      <c r="AF419">
        <v>0</v>
      </c>
      <c r="AG419">
        <v>0</v>
      </c>
      <c r="AH419" t="s">
        <v>1137</v>
      </c>
      <c r="AI419" t="s">
        <v>43</v>
      </c>
    </row>
    <row r="420" spans="1:35" x14ac:dyDescent="0.25">
      <c r="A420">
        <v>646</v>
      </c>
      <c r="B420" t="s">
        <v>1138</v>
      </c>
      <c r="C420" t="s">
        <v>43</v>
      </c>
      <c r="D420">
        <v>0</v>
      </c>
      <c r="E420">
        <v>0</v>
      </c>
      <c r="F420">
        <v>16</v>
      </c>
      <c r="G420">
        <v>11590</v>
      </c>
      <c r="H420">
        <v>0</v>
      </c>
      <c r="I420">
        <v>436</v>
      </c>
      <c r="J420">
        <v>0</v>
      </c>
      <c r="K420">
        <v>0</v>
      </c>
      <c r="L420">
        <v>0</v>
      </c>
      <c r="M420">
        <v>1</v>
      </c>
      <c r="N420">
        <v>-11590</v>
      </c>
      <c r="O420">
        <v>0</v>
      </c>
      <c r="P420">
        <v>-115.9</v>
      </c>
      <c r="Q420">
        <v>0</v>
      </c>
      <c r="R420" t="s">
        <v>37</v>
      </c>
      <c r="S420" t="s">
        <v>1277</v>
      </c>
      <c r="T420" s="1">
        <v>43397.621562499997</v>
      </c>
      <c r="U420">
        <v>4</v>
      </c>
      <c r="V420" t="s">
        <v>55</v>
      </c>
      <c r="W420">
        <v>9</v>
      </c>
      <c r="X420" t="s">
        <v>45</v>
      </c>
      <c r="Y420">
        <v>52</v>
      </c>
      <c r="Z420">
        <v>0</v>
      </c>
      <c r="AA420" t="s">
        <v>46</v>
      </c>
      <c r="AB420">
        <v>0</v>
      </c>
      <c r="AC420" t="s">
        <v>43</v>
      </c>
      <c r="AD420">
        <v>115.9</v>
      </c>
      <c r="AE420">
        <v>0</v>
      </c>
      <c r="AF420">
        <v>0</v>
      </c>
      <c r="AG420">
        <v>0</v>
      </c>
      <c r="AH420" t="s">
        <v>1139</v>
      </c>
      <c r="AI420" t="s">
        <v>43</v>
      </c>
    </row>
    <row r="421" spans="1:35" x14ac:dyDescent="0.25">
      <c r="A421">
        <v>647</v>
      </c>
      <c r="B421" t="s">
        <v>1140</v>
      </c>
      <c r="C421" t="s">
        <v>1141</v>
      </c>
      <c r="D421">
        <v>20</v>
      </c>
      <c r="E421">
        <v>3938</v>
      </c>
      <c r="F421">
        <v>14</v>
      </c>
      <c r="G421">
        <v>2506</v>
      </c>
      <c r="H421">
        <v>0</v>
      </c>
      <c r="I421">
        <v>254</v>
      </c>
      <c r="J421">
        <v>0</v>
      </c>
      <c r="K421">
        <v>0</v>
      </c>
      <c r="L421">
        <v>0</v>
      </c>
      <c r="M421">
        <v>1</v>
      </c>
      <c r="N421">
        <v>1038.2</v>
      </c>
      <c r="O421">
        <v>3544.2</v>
      </c>
      <c r="P421">
        <v>10.38</v>
      </c>
      <c r="Q421">
        <v>35.44</v>
      </c>
      <c r="R421" t="s">
        <v>37</v>
      </c>
      <c r="S421" t="s">
        <v>1277</v>
      </c>
      <c r="T421" s="1">
        <v>43397.621562499997</v>
      </c>
      <c r="U421">
        <v>3</v>
      </c>
      <c r="V421" t="s">
        <v>38</v>
      </c>
      <c r="W421">
        <v>6</v>
      </c>
      <c r="X421" t="s">
        <v>350</v>
      </c>
      <c r="Y421">
        <v>2</v>
      </c>
      <c r="Z421">
        <v>0</v>
      </c>
      <c r="AA421" t="s">
        <v>351</v>
      </c>
      <c r="AB421">
        <v>0</v>
      </c>
      <c r="AC421" t="s">
        <v>43</v>
      </c>
      <c r="AD421">
        <v>25.06</v>
      </c>
      <c r="AE421">
        <v>39.380000000000003</v>
      </c>
      <c r="AF421">
        <v>0</v>
      </c>
      <c r="AG421">
        <v>0</v>
      </c>
      <c r="AH421" t="s">
        <v>1142</v>
      </c>
    </row>
    <row r="422" spans="1:35" x14ac:dyDescent="0.25">
      <c r="A422">
        <v>648</v>
      </c>
      <c r="B422" t="s">
        <v>1143</v>
      </c>
      <c r="C422" t="s">
        <v>1144</v>
      </c>
      <c r="D422">
        <v>43</v>
      </c>
      <c r="E422">
        <v>44500</v>
      </c>
      <c r="F422">
        <v>28</v>
      </c>
      <c r="G422">
        <v>41500</v>
      </c>
      <c r="H422">
        <v>0</v>
      </c>
      <c r="I422">
        <v>206</v>
      </c>
      <c r="J422">
        <v>0</v>
      </c>
      <c r="K422">
        <v>0</v>
      </c>
      <c r="L422">
        <v>0</v>
      </c>
      <c r="M422">
        <v>1</v>
      </c>
      <c r="N422">
        <v>-1450</v>
      </c>
      <c r="O422">
        <v>40050</v>
      </c>
      <c r="P422">
        <v>-14.5</v>
      </c>
      <c r="Q422">
        <v>400.5</v>
      </c>
      <c r="R422" t="s">
        <v>37</v>
      </c>
      <c r="S422" t="s">
        <v>1277</v>
      </c>
      <c r="T422" s="1">
        <v>43397.621562499997</v>
      </c>
      <c r="U422">
        <v>4</v>
      </c>
      <c r="V422" t="s">
        <v>55</v>
      </c>
      <c r="W422">
        <v>6</v>
      </c>
      <c r="X422" t="s">
        <v>350</v>
      </c>
      <c r="Y422">
        <v>2</v>
      </c>
      <c r="Z422">
        <v>0</v>
      </c>
      <c r="AA422" t="s">
        <v>351</v>
      </c>
      <c r="AB422">
        <v>0</v>
      </c>
      <c r="AC422" t="s">
        <v>43</v>
      </c>
      <c r="AD422">
        <v>415</v>
      </c>
      <c r="AE422">
        <v>445</v>
      </c>
      <c r="AF422">
        <v>0</v>
      </c>
      <c r="AG422">
        <v>0</v>
      </c>
      <c r="AH422" t="s">
        <v>1145</v>
      </c>
    </row>
    <row r="423" spans="1:35" x14ac:dyDescent="0.25">
      <c r="A423">
        <v>649</v>
      </c>
      <c r="B423" s="2" t="s">
        <v>1146</v>
      </c>
      <c r="C423" t="s">
        <v>43</v>
      </c>
      <c r="D423">
        <v>9</v>
      </c>
      <c r="E423">
        <v>1045</v>
      </c>
      <c r="F423">
        <v>20</v>
      </c>
      <c r="G423">
        <v>800</v>
      </c>
      <c r="H423">
        <v>0</v>
      </c>
      <c r="I423">
        <v>379</v>
      </c>
      <c r="J423">
        <v>0</v>
      </c>
      <c r="K423">
        <v>0</v>
      </c>
      <c r="L423">
        <v>0</v>
      </c>
      <c r="M423">
        <v>1</v>
      </c>
      <c r="N423">
        <v>140.5</v>
      </c>
      <c r="O423">
        <v>940.5</v>
      </c>
      <c r="P423">
        <v>1.41</v>
      </c>
      <c r="Q423">
        <v>9.41</v>
      </c>
      <c r="R423" t="s">
        <v>37</v>
      </c>
      <c r="S423" t="s">
        <v>1277</v>
      </c>
      <c r="T423" s="1">
        <v>43397.621562499997</v>
      </c>
      <c r="U423">
        <v>2</v>
      </c>
      <c r="V423" t="s">
        <v>47</v>
      </c>
      <c r="W423">
        <v>6</v>
      </c>
      <c r="X423" t="s">
        <v>350</v>
      </c>
      <c r="Y423">
        <v>39</v>
      </c>
      <c r="Z423">
        <v>0</v>
      </c>
      <c r="AA423" t="s">
        <v>511</v>
      </c>
      <c r="AB423">
        <v>0</v>
      </c>
      <c r="AC423" t="s">
        <v>43</v>
      </c>
      <c r="AD423">
        <v>8</v>
      </c>
      <c r="AE423">
        <v>10.45</v>
      </c>
      <c r="AF423">
        <v>0</v>
      </c>
      <c r="AG423">
        <v>0</v>
      </c>
      <c r="AH423" t="s">
        <v>1147</v>
      </c>
      <c r="AI423" t="s">
        <v>43</v>
      </c>
    </row>
    <row r="424" spans="1:35" x14ac:dyDescent="0.25">
      <c r="A424">
        <v>650</v>
      </c>
      <c r="B424" s="2" t="s">
        <v>1148</v>
      </c>
      <c r="C424" t="s">
        <v>43</v>
      </c>
      <c r="D424">
        <v>12</v>
      </c>
      <c r="E424">
        <v>1000</v>
      </c>
      <c r="F424">
        <v>12</v>
      </c>
      <c r="G424">
        <v>750</v>
      </c>
      <c r="H424">
        <v>0</v>
      </c>
      <c r="I424">
        <v>398</v>
      </c>
      <c r="J424">
        <v>0</v>
      </c>
      <c r="K424">
        <v>0</v>
      </c>
      <c r="L424">
        <v>0</v>
      </c>
      <c r="M424">
        <v>1</v>
      </c>
      <c r="N424">
        <v>150</v>
      </c>
      <c r="O424">
        <v>900</v>
      </c>
      <c r="P424">
        <v>1.5</v>
      </c>
      <c r="Q424">
        <v>9</v>
      </c>
      <c r="R424" t="s">
        <v>37</v>
      </c>
      <c r="S424" t="s">
        <v>1277</v>
      </c>
      <c r="T424" s="1">
        <v>43397.621562499997</v>
      </c>
      <c r="U424">
        <v>2</v>
      </c>
      <c r="V424" t="s">
        <v>47</v>
      </c>
      <c r="W424">
        <v>6</v>
      </c>
      <c r="X424" t="s">
        <v>350</v>
      </c>
      <c r="Y424">
        <v>39</v>
      </c>
      <c r="Z424">
        <v>0</v>
      </c>
      <c r="AA424" t="s">
        <v>511</v>
      </c>
      <c r="AB424">
        <v>0</v>
      </c>
      <c r="AC424" t="s">
        <v>43</v>
      </c>
      <c r="AD424">
        <v>7.5</v>
      </c>
      <c r="AE424">
        <v>10</v>
      </c>
      <c r="AF424">
        <v>0</v>
      </c>
      <c r="AG424">
        <v>0</v>
      </c>
      <c r="AH424" t="s">
        <v>1149</v>
      </c>
      <c r="AI424" t="s">
        <v>43</v>
      </c>
    </row>
    <row r="425" spans="1:35" x14ac:dyDescent="0.25">
      <c r="A425">
        <v>651</v>
      </c>
      <c r="B425" t="s">
        <v>1150</v>
      </c>
      <c r="C425" t="s">
        <v>1151</v>
      </c>
      <c r="D425">
        <v>4</v>
      </c>
      <c r="E425">
        <v>449897</v>
      </c>
      <c r="F425">
        <v>3</v>
      </c>
      <c r="G425">
        <v>276001</v>
      </c>
      <c r="H425">
        <v>0</v>
      </c>
      <c r="I425">
        <v>223</v>
      </c>
      <c r="J425">
        <v>0</v>
      </c>
      <c r="K425">
        <v>0</v>
      </c>
      <c r="L425">
        <v>0</v>
      </c>
      <c r="M425">
        <v>1</v>
      </c>
      <c r="N425">
        <v>128906.3</v>
      </c>
      <c r="O425">
        <v>404907.3</v>
      </c>
      <c r="P425">
        <v>1289.06</v>
      </c>
      <c r="Q425">
        <v>4049.07</v>
      </c>
      <c r="R425" t="s">
        <v>37</v>
      </c>
      <c r="S425" t="s">
        <v>1277</v>
      </c>
      <c r="T425" s="1">
        <v>43397.621562499997</v>
      </c>
      <c r="U425">
        <v>4</v>
      </c>
      <c r="V425" t="s">
        <v>55</v>
      </c>
      <c r="W425">
        <v>6</v>
      </c>
      <c r="X425" t="s">
        <v>350</v>
      </c>
      <c r="Y425">
        <v>2</v>
      </c>
      <c r="Z425">
        <v>0</v>
      </c>
      <c r="AA425" t="s">
        <v>351</v>
      </c>
      <c r="AB425">
        <v>0</v>
      </c>
      <c r="AC425" t="s">
        <v>43</v>
      </c>
      <c r="AD425">
        <v>2760.01</v>
      </c>
      <c r="AE425">
        <v>4498.97</v>
      </c>
      <c r="AF425">
        <v>0</v>
      </c>
      <c r="AG425">
        <v>0</v>
      </c>
      <c r="AH425" t="s">
        <v>1152</v>
      </c>
    </row>
    <row r="426" spans="1:35" x14ac:dyDescent="0.25">
      <c r="A426">
        <v>652</v>
      </c>
      <c r="B426" t="s">
        <v>1153</v>
      </c>
      <c r="C426" t="s">
        <v>1154</v>
      </c>
      <c r="D426">
        <v>35</v>
      </c>
      <c r="E426">
        <v>228997</v>
      </c>
      <c r="F426">
        <v>20</v>
      </c>
      <c r="G426">
        <v>212180</v>
      </c>
      <c r="H426">
        <v>0</v>
      </c>
      <c r="I426">
        <v>3</v>
      </c>
      <c r="J426">
        <v>0</v>
      </c>
      <c r="K426">
        <v>202330</v>
      </c>
      <c r="L426">
        <v>188029</v>
      </c>
      <c r="M426">
        <v>1</v>
      </c>
      <c r="N426">
        <v>-6082.7</v>
      </c>
      <c r="O426">
        <v>18068.3</v>
      </c>
      <c r="P426">
        <v>-60.83</v>
      </c>
      <c r="Q426">
        <v>180.68</v>
      </c>
      <c r="R426" t="s">
        <v>37</v>
      </c>
      <c r="S426" t="s">
        <v>1277</v>
      </c>
      <c r="T426" s="1">
        <v>43397.621562499997</v>
      </c>
      <c r="U426">
        <v>4</v>
      </c>
      <c r="V426" t="s">
        <v>55</v>
      </c>
      <c r="W426">
        <v>2</v>
      </c>
      <c r="X426" t="s">
        <v>39</v>
      </c>
      <c r="Y426">
        <v>3</v>
      </c>
      <c r="Z426">
        <v>165</v>
      </c>
      <c r="AA426" t="s">
        <v>88</v>
      </c>
      <c r="AB426">
        <v>5</v>
      </c>
      <c r="AC426" t="s">
        <v>599</v>
      </c>
      <c r="AD426">
        <v>2121.8000000000002</v>
      </c>
      <c r="AE426">
        <v>2289.9699999999998</v>
      </c>
      <c r="AF426">
        <v>2023.3</v>
      </c>
      <c r="AG426">
        <v>1880.29</v>
      </c>
      <c r="AH426" t="s">
        <v>1155</v>
      </c>
    </row>
    <row r="427" spans="1:35" x14ac:dyDescent="0.25">
      <c r="A427">
        <v>663</v>
      </c>
      <c r="B427" t="s">
        <v>1156</v>
      </c>
      <c r="C427" t="s">
        <v>1157</v>
      </c>
      <c r="D427">
        <v>46</v>
      </c>
      <c r="E427">
        <v>99900</v>
      </c>
      <c r="F427">
        <v>29</v>
      </c>
      <c r="G427">
        <v>91000</v>
      </c>
      <c r="H427">
        <v>0</v>
      </c>
      <c r="I427">
        <v>34</v>
      </c>
      <c r="J427">
        <v>0</v>
      </c>
      <c r="K427">
        <v>0</v>
      </c>
      <c r="L427">
        <v>0</v>
      </c>
      <c r="M427">
        <v>1</v>
      </c>
      <c r="N427">
        <v>-1090</v>
      </c>
      <c r="O427">
        <v>89910</v>
      </c>
      <c r="P427">
        <v>-10.9</v>
      </c>
      <c r="Q427">
        <v>899.1</v>
      </c>
      <c r="R427" t="s">
        <v>37</v>
      </c>
      <c r="S427" t="s">
        <v>1277</v>
      </c>
      <c r="T427" s="1">
        <v>43397.621562499997</v>
      </c>
      <c r="U427">
        <v>3</v>
      </c>
      <c r="V427" t="s">
        <v>38</v>
      </c>
      <c r="W427">
        <v>4</v>
      </c>
      <c r="X427" t="s">
        <v>114</v>
      </c>
      <c r="Y427">
        <v>29</v>
      </c>
      <c r="Z427">
        <v>0</v>
      </c>
      <c r="AA427" t="s">
        <v>115</v>
      </c>
      <c r="AB427">
        <v>0</v>
      </c>
      <c r="AC427" t="s">
        <v>43</v>
      </c>
      <c r="AD427">
        <v>910</v>
      </c>
      <c r="AE427">
        <v>999</v>
      </c>
      <c r="AF427">
        <v>0</v>
      </c>
      <c r="AG427">
        <v>0</v>
      </c>
      <c r="AH427" t="s">
        <v>1158</v>
      </c>
    </row>
    <row r="428" spans="1:35" x14ac:dyDescent="0.25">
      <c r="A428">
        <v>735</v>
      </c>
      <c r="B428" t="s">
        <v>1159</v>
      </c>
      <c r="C428" t="s">
        <v>43</v>
      </c>
      <c r="D428">
        <v>6</v>
      </c>
      <c r="E428">
        <v>1275</v>
      </c>
      <c r="F428">
        <v>8</v>
      </c>
      <c r="G428">
        <v>789</v>
      </c>
      <c r="H428">
        <v>0</v>
      </c>
      <c r="I428">
        <v>334</v>
      </c>
      <c r="J428">
        <v>0</v>
      </c>
      <c r="K428">
        <v>0</v>
      </c>
      <c r="L428">
        <v>0</v>
      </c>
      <c r="M428">
        <v>1</v>
      </c>
      <c r="N428">
        <v>358.5</v>
      </c>
      <c r="O428">
        <v>1147.5</v>
      </c>
      <c r="P428">
        <v>3.59</v>
      </c>
      <c r="Q428">
        <v>11.48</v>
      </c>
      <c r="R428" t="s">
        <v>37</v>
      </c>
      <c r="S428" t="s">
        <v>1277</v>
      </c>
      <c r="T428" s="1">
        <v>43397.621562499997</v>
      </c>
      <c r="U428">
        <v>5</v>
      </c>
      <c r="V428" t="s">
        <v>140</v>
      </c>
      <c r="W428">
        <v>9</v>
      </c>
      <c r="X428" t="s">
        <v>45</v>
      </c>
      <c r="Y428">
        <v>52</v>
      </c>
      <c r="Z428">
        <v>0</v>
      </c>
      <c r="AA428" t="s">
        <v>46</v>
      </c>
      <c r="AB428">
        <v>0</v>
      </c>
      <c r="AC428" t="s">
        <v>43</v>
      </c>
      <c r="AD428">
        <v>7.89</v>
      </c>
      <c r="AE428">
        <v>12.75</v>
      </c>
      <c r="AF428">
        <v>0</v>
      </c>
      <c r="AG428">
        <v>0</v>
      </c>
      <c r="AH428" t="s">
        <v>1160</v>
      </c>
      <c r="AI428" t="s">
        <v>43</v>
      </c>
    </row>
    <row r="429" spans="1:35" x14ac:dyDescent="0.25">
      <c r="A429">
        <v>763</v>
      </c>
      <c r="B429" t="s">
        <v>1161</v>
      </c>
      <c r="C429" t="s">
        <v>1162</v>
      </c>
      <c r="D429">
        <v>44</v>
      </c>
      <c r="E429">
        <v>13000</v>
      </c>
      <c r="F429">
        <v>49</v>
      </c>
      <c r="G429">
        <v>11500</v>
      </c>
      <c r="H429">
        <v>0</v>
      </c>
      <c r="I429">
        <v>45</v>
      </c>
      <c r="J429">
        <v>0</v>
      </c>
      <c r="K429">
        <v>0</v>
      </c>
      <c r="L429">
        <v>0</v>
      </c>
      <c r="M429">
        <v>1</v>
      </c>
      <c r="N429">
        <v>200</v>
      </c>
      <c r="O429">
        <v>11700</v>
      </c>
      <c r="P429">
        <v>2</v>
      </c>
      <c r="Q429">
        <v>117</v>
      </c>
      <c r="R429" t="s">
        <v>37</v>
      </c>
      <c r="S429" t="s">
        <v>1277</v>
      </c>
      <c r="T429" s="1">
        <v>43397.621562499997</v>
      </c>
      <c r="U429">
        <v>2</v>
      </c>
      <c r="V429" t="s">
        <v>47</v>
      </c>
      <c r="W429">
        <v>2</v>
      </c>
      <c r="X429" t="s">
        <v>39</v>
      </c>
      <c r="Y429">
        <v>18</v>
      </c>
      <c r="Z429">
        <v>0</v>
      </c>
      <c r="AA429" t="s">
        <v>71</v>
      </c>
      <c r="AB429">
        <v>0</v>
      </c>
      <c r="AC429" t="s">
        <v>43</v>
      </c>
      <c r="AD429">
        <v>115</v>
      </c>
      <c r="AE429">
        <v>130</v>
      </c>
      <c r="AF429">
        <v>0</v>
      </c>
      <c r="AG429">
        <v>0</v>
      </c>
      <c r="AH429" t="s">
        <v>1163</v>
      </c>
    </row>
    <row r="430" spans="1:35" x14ac:dyDescent="0.25">
      <c r="A430">
        <v>764</v>
      </c>
      <c r="B430" t="s">
        <v>1164</v>
      </c>
      <c r="C430" t="s">
        <v>1165</v>
      </c>
      <c r="D430">
        <v>44</v>
      </c>
      <c r="E430">
        <v>32799</v>
      </c>
      <c r="F430">
        <v>25</v>
      </c>
      <c r="G430">
        <v>31199</v>
      </c>
      <c r="H430">
        <v>0</v>
      </c>
      <c r="I430">
        <v>42</v>
      </c>
      <c r="J430">
        <v>0</v>
      </c>
      <c r="K430">
        <v>30934</v>
      </c>
      <c r="L430">
        <v>28976</v>
      </c>
      <c r="M430">
        <v>1</v>
      </c>
      <c r="N430">
        <v>-1679.9</v>
      </c>
      <c r="O430">
        <v>543.1</v>
      </c>
      <c r="P430">
        <v>-16.8</v>
      </c>
      <c r="Q430">
        <v>5.43</v>
      </c>
      <c r="R430" t="s">
        <v>37</v>
      </c>
      <c r="S430" t="s">
        <v>1277</v>
      </c>
      <c r="T430" s="1">
        <v>43397.621562499997</v>
      </c>
      <c r="U430">
        <v>3</v>
      </c>
      <c r="V430" t="s">
        <v>38</v>
      </c>
      <c r="W430">
        <v>2</v>
      </c>
      <c r="X430" t="s">
        <v>39</v>
      </c>
      <c r="Y430">
        <v>46</v>
      </c>
      <c r="Z430">
        <v>167</v>
      </c>
      <c r="AA430" t="s">
        <v>803</v>
      </c>
      <c r="AB430">
        <v>6</v>
      </c>
      <c r="AC430" t="s">
        <v>282</v>
      </c>
      <c r="AD430">
        <v>311.99</v>
      </c>
      <c r="AE430">
        <v>327.99</v>
      </c>
      <c r="AF430">
        <v>309.33999999999997</v>
      </c>
      <c r="AG430">
        <v>289.76</v>
      </c>
      <c r="AH430" t="s">
        <v>1166</v>
      </c>
    </row>
    <row r="431" spans="1:35" x14ac:dyDescent="0.25">
      <c r="A431">
        <v>765</v>
      </c>
      <c r="B431" t="s">
        <v>1167</v>
      </c>
      <c r="C431" t="s">
        <v>1168</v>
      </c>
      <c r="D431">
        <v>46</v>
      </c>
      <c r="E431">
        <v>33914</v>
      </c>
      <c r="F431">
        <v>10</v>
      </c>
      <c r="G431">
        <v>30500</v>
      </c>
      <c r="H431">
        <v>0</v>
      </c>
      <c r="I431">
        <v>102</v>
      </c>
      <c r="J431">
        <v>0</v>
      </c>
      <c r="K431">
        <v>31944</v>
      </c>
      <c r="L431">
        <v>28716</v>
      </c>
      <c r="M431">
        <v>1</v>
      </c>
      <c r="N431">
        <v>22.6</v>
      </c>
      <c r="O431">
        <v>1806.6</v>
      </c>
      <c r="P431">
        <v>0.23</v>
      </c>
      <c r="Q431">
        <v>18.07</v>
      </c>
      <c r="R431" t="s">
        <v>37</v>
      </c>
      <c r="S431" t="s">
        <v>1277</v>
      </c>
      <c r="T431" s="1">
        <v>43397.621562499997</v>
      </c>
      <c r="U431">
        <v>3</v>
      </c>
      <c r="V431" t="s">
        <v>38</v>
      </c>
      <c r="W431">
        <v>2</v>
      </c>
      <c r="X431" t="s">
        <v>39</v>
      </c>
      <c r="Y431">
        <v>26</v>
      </c>
      <c r="Z431">
        <v>166</v>
      </c>
      <c r="AA431" t="s">
        <v>40</v>
      </c>
      <c r="AB431">
        <v>7</v>
      </c>
      <c r="AC431" t="s">
        <v>1020</v>
      </c>
      <c r="AD431">
        <v>305</v>
      </c>
      <c r="AE431">
        <v>339.14</v>
      </c>
      <c r="AF431">
        <v>319.44</v>
      </c>
      <c r="AG431">
        <v>287.16000000000003</v>
      </c>
      <c r="AH431" t="s">
        <v>1169</v>
      </c>
    </row>
    <row r="432" spans="1:35" x14ac:dyDescent="0.25">
      <c r="A432">
        <v>766</v>
      </c>
      <c r="B432" t="s">
        <v>1170</v>
      </c>
      <c r="C432" t="s">
        <v>1171</v>
      </c>
      <c r="D432">
        <v>22</v>
      </c>
      <c r="E432">
        <v>223689</v>
      </c>
      <c r="F432">
        <v>34</v>
      </c>
      <c r="G432">
        <v>220000</v>
      </c>
      <c r="H432">
        <v>0</v>
      </c>
      <c r="I432">
        <v>21</v>
      </c>
      <c r="J432">
        <v>0</v>
      </c>
      <c r="K432">
        <v>208298</v>
      </c>
      <c r="L432">
        <v>202604</v>
      </c>
      <c r="M432">
        <v>1</v>
      </c>
      <c r="N432">
        <v>-18679.900000000001</v>
      </c>
      <c r="O432">
        <v>-1283.9000000000001</v>
      </c>
      <c r="P432">
        <v>-186.8</v>
      </c>
      <c r="Q432">
        <v>-12.84</v>
      </c>
      <c r="R432" t="s">
        <v>37</v>
      </c>
      <c r="S432" t="s">
        <v>1277</v>
      </c>
      <c r="T432" s="1">
        <v>43397.621562499997</v>
      </c>
      <c r="U432">
        <v>4</v>
      </c>
      <c r="V432" t="s">
        <v>55</v>
      </c>
      <c r="W432">
        <v>2</v>
      </c>
      <c r="X432" t="s">
        <v>39</v>
      </c>
      <c r="Y432">
        <v>18</v>
      </c>
      <c r="Z432">
        <v>168</v>
      </c>
      <c r="AA432" t="s">
        <v>71</v>
      </c>
      <c r="AB432">
        <v>3</v>
      </c>
      <c r="AC432" t="s">
        <v>72</v>
      </c>
      <c r="AD432">
        <v>2200</v>
      </c>
      <c r="AE432">
        <v>2236.89</v>
      </c>
      <c r="AF432">
        <v>2082.98</v>
      </c>
      <c r="AG432">
        <v>2026.04</v>
      </c>
      <c r="AH432" t="s">
        <v>1172</v>
      </c>
    </row>
    <row r="433" spans="1:35" x14ac:dyDescent="0.25">
      <c r="A433">
        <v>767</v>
      </c>
      <c r="B433" t="s">
        <v>1173</v>
      </c>
      <c r="C433" t="s">
        <v>287</v>
      </c>
      <c r="D433">
        <v>17</v>
      </c>
      <c r="E433">
        <v>14444</v>
      </c>
      <c r="F433">
        <v>15</v>
      </c>
      <c r="G433">
        <v>13000</v>
      </c>
      <c r="H433">
        <v>0</v>
      </c>
      <c r="I433">
        <v>188</v>
      </c>
      <c r="J433">
        <v>0</v>
      </c>
      <c r="K433">
        <v>0</v>
      </c>
      <c r="L433">
        <v>0</v>
      </c>
      <c r="M433">
        <v>1</v>
      </c>
      <c r="N433">
        <v>-0.4</v>
      </c>
      <c r="O433">
        <v>12999.6</v>
      </c>
      <c r="P433">
        <v>0</v>
      </c>
      <c r="Q433">
        <v>130</v>
      </c>
      <c r="R433" t="s">
        <v>37</v>
      </c>
      <c r="S433" t="s">
        <v>1277</v>
      </c>
      <c r="T433" s="1">
        <v>43397.621562499997</v>
      </c>
      <c r="U433">
        <v>5</v>
      </c>
      <c r="V433" t="s">
        <v>140</v>
      </c>
      <c r="W433">
        <v>7</v>
      </c>
      <c r="X433" t="s">
        <v>49</v>
      </c>
      <c r="Y433">
        <v>10</v>
      </c>
      <c r="Z433">
        <v>0</v>
      </c>
      <c r="AA433" t="s">
        <v>50</v>
      </c>
      <c r="AB433">
        <v>0</v>
      </c>
      <c r="AC433" t="s">
        <v>43</v>
      </c>
      <c r="AD433">
        <v>130</v>
      </c>
      <c r="AE433">
        <v>144.44</v>
      </c>
      <c r="AF433">
        <v>0</v>
      </c>
      <c r="AG433">
        <v>0</v>
      </c>
      <c r="AH433" t="s">
        <v>1174</v>
      </c>
      <c r="AI433" t="s">
        <v>43</v>
      </c>
    </row>
    <row r="434" spans="1:35" x14ac:dyDescent="0.25">
      <c r="A434">
        <v>769</v>
      </c>
      <c r="B434" t="s">
        <v>1175</v>
      </c>
      <c r="C434" t="s">
        <v>1176</v>
      </c>
      <c r="D434">
        <v>23</v>
      </c>
      <c r="E434">
        <v>40179</v>
      </c>
      <c r="F434">
        <v>9</v>
      </c>
      <c r="G434">
        <v>35106</v>
      </c>
      <c r="H434">
        <v>0</v>
      </c>
      <c r="I434">
        <v>0</v>
      </c>
      <c r="J434">
        <v>0</v>
      </c>
      <c r="K434">
        <v>0</v>
      </c>
      <c r="L434">
        <v>0</v>
      </c>
      <c r="M434">
        <v>1</v>
      </c>
      <c r="N434">
        <v>1055.0999999999999</v>
      </c>
      <c r="O434">
        <v>36161.1</v>
      </c>
      <c r="P434">
        <v>10.55</v>
      </c>
      <c r="Q434">
        <v>361.61</v>
      </c>
      <c r="R434" t="s">
        <v>37</v>
      </c>
      <c r="S434" t="s">
        <v>1277</v>
      </c>
      <c r="T434" s="1">
        <v>43397.621562499997</v>
      </c>
      <c r="U434">
        <v>3</v>
      </c>
      <c r="V434" t="s">
        <v>38</v>
      </c>
      <c r="W434">
        <v>1</v>
      </c>
      <c r="X434" t="s">
        <v>101</v>
      </c>
      <c r="Y434">
        <v>5</v>
      </c>
      <c r="Z434">
        <v>0</v>
      </c>
      <c r="AA434" t="s">
        <v>182</v>
      </c>
      <c r="AB434">
        <v>0</v>
      </c>
      <c r="AC434" t="s">
        <v>43</v>
      </c>
      <c r="AD434">
        <v>351.06</v>
      </c>
      <c r="AE434">
        <v>401.79</v>
      </c>
      <c r="AF434">
        <v>0</v>
      </c>
      <c r="AG434">
        <v>0</v>
      </c>
      <c r="AH434" t="s">
        <v>1177</v>
      </c>
    </row>
    <row r="435" spans="1:35" x14ac:dyDescent="0.25">
      <c r="A435">
        <v>770</v>
      </c>
      <c r="B435" t="s">
        <v>1178</v>
      </c>
      <c r="C435" t="s">
        <v>1179</v>
      </c>
      <c r="D435">
        <v>16</v>
      </c>
      <c r="E435">
        <v>198800</v>
      </c>
      <c r="F435">
        <v>13</v>
      </c>
      <c r="G435">
        <v>176500</v>
      </c>
      <c r="H435">
        <v>0</v>
      </c>
      <c r="I435">
        <v>0</v>
      </c>
      <c r="J435">
        <v>0</v>
      </c>
      <c r="K435">
        <v>0</v>
      </c>
      <c r="L435">
        <v>0</v>
      </c>
      <c r="M435">
        <v>1</v>
      </c>
      <c r="N435">
        <v>2420</v>
      </c>
      <c r="O435">
        <v>178920</v>
      </c>
      <c r="P435">
        <v>24.2</v>
      </c>
      <c r="Q435">
        <v>1789.2</v>
      </c>
      <c r="R435" t="s">
        <v>37</v>
      </c>
      <c r="S435" t="s">
        <v>1277</v>
      </c>
      <c r="T435" s="1">
        <v>43397.621562499997</v>
      </c>
      <c r="U435">
        <v>3</v>
      </c>
      <c r="V435" t="s">
        <v>38</v>
      </c>
      <c r="W435">
        <v>2</v>
      </c>
      <c r="X435" t="s">
        <v>39</v>
      </c>
      <c r="Y435">
        <v>20</v>
      </c>
      <c r="Z435">
        <v>0</v>
      </c>
      <c r="AA435" t="s">
        <v>159</v>
      </c>
      <c r="AB435">
        <v>0</v>
      </c>
      <c r="AC435" t="s">
        <v>43</v>
      </c>
      <c r="AD435">
        <v>1765</v>
      </c>
      <c r="AE435">
        <v>1988</v>
      </c>
      <c r="AF435">
        <v>0</v>
      </c>
      <c r="AG435">
        <v>0</v>
      </c>
      <c r="AH435" t="s">
        <v>1180</v>
      </c>
    </row>
    <row r="436" spans="1:35" x14ac:dyDescent="0.25">
      <c r="A436">
        <v>773</v>
      </c>
      <c r="B436" t="s">
        <v>1181</v>
      </c>
      <c r="C436" t="s">
        <v>1182</v>
      </c>
      <c r="D436">
        <v>67</v>
      </c>
      <c r="E436">
        <v>2050</v>
      </c>
      <c r="F436">
        <v>35</v>
      </c>
      <c r="G436">
        <v>1212</v>
      </c>
      <c r="H436">
        <v>0</v>
      </c>
      <c r="I436">
        <v>0</v>
      </c>
      <c r="J436">
        <v>0</v>
      </c>
      <c r="K436">
        <v>0</v>
      </c>
      <c r="L436">
        <v>0</v>
      </c>
      <c r="M436">
        <v>1</v>
      </c>
      <c r="N436">
        <v>633</v>
      </c>
      <c r="O436">
        <v>1845</v>
      </c>
      <c r="P436">
        <v>6.33</v>
      </c>
      <c r="Q436">
        <v>18.45</v>
      </c>
      <c r="R436" t="s">
        <v>37</v>
      </c>
      <c r="S436" t="s">
        <v>1277</v>
      </c>
      <c r="T436" s="1">
        <v>43397.621562499997</v>
      </c>
      <c r="U436">
        <v>2</v>
      </c>
      <c r="V436" t="s">
        <v>47</v>
      </c>
      <c r="W436">
        <v>8</v>
      </c>
      <c r="X436" t="s">
        <v>118</v>
      </c>
      <c r="Y436">
        <v>8</v>
      </c>
      <c r="Z436">
        <v>0</v>
      </c>
      <c r="AA436" t="s">
        <v>232</v>
      </c>
      <c r="AB436">
        <v>0</v>
      </c>
      <c r="AC436" t="s">
        <v>43</v>
      </c>
      <c r="AD436">
        <v>12.12</v>
      </c>
      <c r="AE436">
        <v>20.5</v>
      </c>
      <c r="AF436">
        <v>0</v>
      </c>
      <c r="AG436">
        <v>0</v>
      </c>
      <c r="AH436" t="s">
        <v>1183</v>
      </c>
      <c r="AI436" t="s">
        <v>43</v>
      </c>
    </row>
    <row r="437" spans="1:35" x14ac:dyDescent="0.25">
      <c r="A437">
        <v>775</v>
      </c>
      <c r="B437" t="s">
        <v>1184</v>
      </c>
      <c r="C437" t="s">
        <v>43</v>
      </c>
      <c r="D437">
        <v>27</v>
      </c>
      <c r="E437">
        <v>1298</v>
      </c>
      <c r="F437">
        <v>4</v>
      </c>
      <c r="G437">
        <v>802</v>
      </c>
      <c r="H437">
        <v>0</v>
      </c>
      <c r="I437">
        <v>0</v>
      </c>
      <c r="J437">
        <v>0</v>
      </c>
      <c r="K437">
        <v>0</v>
      </c>
      <c r="L437">
        <v>0</v>
      </c>
      <c r="M437">
        <v>1</v>
      </c>
      <c r="N437">
        <v>366.2</v>
      </c>
      <c r="O437">
        <v>1168.2</v>
      </c>
      <c r="P437">
        <v>3.66</v>
      </c>
      <c r="Q437">
        <v>11.68</v>
      </c>
      <c r="R437" t="s">
        <v>37</v>
      </c>
      <c r="S437" t="s">
        <v>1277</v>
      </c>
      <c r="T437" s="1">
        <v>43397.621562499997</v>
      </c>
      <c r="U437">
        <v>5</v>
      </c>
      <c r="V437" t="s">
        <v>140</v>
      </c>
      <c r="W437">
        <v>9</v>
      </c>
      <c r="X437" t="s">
        <v>45</v>
      </c>
      <c r="Y437">
        <v>52</v>
      </c>
      <c r="Z437">
        <v>0</v>
      </c>
      <c r="AA437" t="s">
        <v>46</v>
      </c>
      <c r="AB437">
        <v>0</v>
      </c>
      <c r="AC437" t="s">
        <v>43</v>
      </c>
      <c r="AD437">
        <v>8.02</v>
      </c>
      <c r="AE437">
        <v>12.98</v>
      </c>
      <c r="AF437">
        <v>0</v>
      </c>
      <c r="AG437">
        <v>0</v>
      </c>
      <c r="AH437" t="s">
        <v>1185</v>
      </c>
      <c r="AI437" t="s">
        <v>43</v>
      </c>
    </row>
    <row r="438" spans="1:35" x14ac:dyDescent="0.25">
      <c r="A438">
        <v>776</v>
      </c>
      <c r="B438" t="s">
        <v>1186</v>
      </c>
      <c r="C438" t="s">
        <v>43</v>
      </c>
      <c r="D438">
        <v>89</v>
      </c>
      <c r="E438">
        <v>1655</v>
      </c>
      <c r="F438">
        <v>30</v>
      </c>
      <c r="G438">
        <v>1214</v>
      </c>
      <c r="H438">
        <v>0</v>
      </c>
      <c r="I438">
        <v>0</v>
      </c>
      <c r="J438">
        <v>0</v>
      </c>
      <c r="K438">
        <v>0</v>
      </c>
      <c r="L438">
        <v>0</v>
      </c>
      <c r="M438">
        <v>1</v>
      </c>
      <c r="N438">
        <v>275.5</v>
      </c>
      <c r="O438">
        <v>1489.5</v>
      </c>
      <c r="P438">
        <v>2.76</v>
      </c>
      <c r="Q438">
        <v>14.9</v>
      </c>
      <c r="R438" t="s">
        <v>37</v>
      </c>
      <c r="S438" t="s">
        <v>1277</v>
      </c>
      <c r="T438" s="1">
        <v>43397.621562499997</v>
      </c>
      <c r="U438">
        <v>3</v>
      </c>
      <c r="V438" t="s">
        <v>38</v>
      </c>
      <c r="W438">
        <v>9</v>
      </c>
      <c r="X438" t="s">
        <v>45</v>
      </c>
      <c r="Y438">
        <v>52</v>
      </c>
      <c r="Z438">
        <v>0</v>
      </c>
      <c r="AA438" t="s">
        <v>46</v>
      </c>
      <c r="AB438">
        <v>0</v>
      </c>
      <c r="AC438" t="s">
        <v>43</v>
      </c>
      <c r="AD438">
        <v>12.14</v>
      </c>
      <c r="AE438">
        <v>16.55</v>
      </c>
      <c r="AF438">
        <v>0</v>
      </c>
      <c r="AG438">
        <v>0</v>
      </c>
      <c r="AH438" t="s">
        <v>1187</v>
      </c>
      <c r="AI438" t="s">
        <v>43</v>
      </c>
    </row>
    <row r="439" spans="1:35" x14ac:dyDescent="0.25">
      <c r="A439">
        <v>777</v>
      </c>
      <c r="B439" t="s">
        <v>1188</v>
      </c>
      <c r="C439" t="s">
        <v>43</v>
      </c>
      <c r="D439">
        <v>15</v>
      </c>
      <c r="E439">
        <v>338</v>
      </c>
      <c r="F439">
        <v>21</v>
      </c>
      <c r="G439">
        <v>102</v>
      </c>
      <c r="H439">
        <v>0</v>
      </c>
      <c r="I439">
        <v>0</v>
      </c>
      <c r="J439">
        <v>0</v>
      </c>
      <c r="K439">
        <v>0</v>
      </c>
      <c r="L439">
        <v>0</v>
      </c>
      <c r="M439">
        <v>1</v>
      </c>
      <c r="N439">
        <v>202.2</v>
      </c>
      <c r="O439">
        <v>304.2</v>
      </c>
      <c r="P439">
        <v>2.02</v>
      </c>
      <c r="Q439">
        <v>3.04</v>
      </c>
      <c r="R439" t="s">
        <v>37</v>
      </c>
      <c r="S439" t="s">
        <v>1277</v>
      </c>
      <c r="T439" s="1">
        <v>43397.621562499997</v>
      </c>
      <c r="U439">
        <v>1</v>
      </c>
      <c r="V439" t="s">
        <v>44</v>
      </c>
      <c r="W439">
        <v>9</v>
      </c>
      <c r="X439" t="s">
        <v>45</v>
      </c>
      <c r="Y439">
        <v>52</v>
      </c>
      <c r="Z439">
        <v>0</v>
      </c>
      <c r="AA439" t="s">
        <v>46</v>
      </c>
      <c r="AB439">
        <v>0</v>
      </c>
      <c r="AC439" t="s">
        <v>43</v>
      </c>
      <c r="AD439">
        <v>1.02</v>
      </c>
      <c r="AE439">
        <v>3.38</v>
      </c>
      <c r="AF439">
        <v>0</v>
      </c>
      <c r="AG439">
        <v>0</v>
      </c>
      <c r="AH439" t="s">
        <v>1189</v>
      </c>
      <c r="AI439" t="s">
        <v>43</v>
      </c>
    </row>
    <row r="440" spans="1:35" x14ac:dyDescent="0.25">
      <c r="A440">
        <v>778</v>
      </c>
      <c r="B440" t="s">
        <v>1190</v>
      </c>
      <c r="C440" t="s">
        <v>43</v>
      </c>
      <c r="D440">
        <v>13</v>
      </c>
      <c r="E440">
        <v>141</v>
      </c>
      <c r="F440">
        <v>18</v>
      </c>
      <c r="G440">
        <v>47</v>
      </c>
      <c r="H440">
        <v>0</v>
      </c>
      <c r="I440">
        <v>0</v>
      </c>
      <c r="J440">
        <v>0</v>
      </c>
      <c r="K440">
        <v>0</v>
      </c>
      <c r="L440">
        <v>0</v>
      </c>
      <c r="M440">
        <v>1</v>
      </c>
      <c r="N440">
        <v>79.900000000000006</v>
      </c>
      <c r="O440">
        <v>126.9</v>
      </c>
      <c r="P440">
        <v>0.8</v>
      </c>
      <c r="Q440">
        <v>1.27</v>
      </c>
      <c r="R440" t="s">
        <v>37</v>
      </c>
      <c r="S440" t="s">
        <v>1277</v>
      </c>
      <c r="T440" s="1">
        <v>43397.621562499997</v>
      </c>
      <c r="U440">
        <v>2</v>
      </c>
      <c r="V440" t="s">
        <v>47</v>
      </c>
      <c r="W440">
        <v>9</v>
      </c>
      <c r="X440" t="s">
        <v>45</v>
      </c>
      <c r="Y440">
        <v>52</v>
      </c>
      <c r="Z440">
        <v>0</v>
      </c>
      <c r="AA440" t="s">
        <v>46</v>
      </c>
      <c r="AB440">
        <v>0</v>
      </c>
      <c r="AC440" t="s">
        <v>43</v>
      </c>
      <c r="AD440">
        <v>0.47</v>
      </c>
      <c r="AE440">
        <v>1.41</v>
      </c>
      <c r="AF440">
        <v>0</v>
      </c>
      <c r="AG440">
        <v>0</v>
      </c>
      <c r="AH440" t="s">
        <v>1191</v>
      </c>
      <c r="AI440" t="s">
        <v>43</v>
      </c>
    </row>
    <row r="441" spans="1:35" x14ac:dyDescent="0.25">
      <c r="A441">
        <v>779</v>
      </c>
      <c r="B441" t="s">
        <v>1192</v>
      </c>
      <c r="C441" t="s">
        <v>43</v>
      </c>
      <c r="D441">
        <v>14</v>
      </c>
      <c r="E441">
        <v>2900</v>
      </c>
      <c r="F441">
        <v>3</v>
      </c>
      <c r="G441">
        <v>2323</v>
      </c>
      <c r="H441">
        <v>0</v>
      </c>
      <c r="I441">
        <v>0</v>
      </c>
      <c r="J441">
        <v>0</v>
      </c>
      <c r="K441">
        <v>0</v>
      </c>
      <c r="L441">
        <v>0</v>
      </c>
      <c r="M441">
        <v>1</v>
      </c>
      <c r="N441">
        <v>287</v>
      </c>
      <c r="O441">
        <v>2610</v>
      </c>
      <c r="P441">
        <v>2.87</v>
      </c>
      <c r="Q441">
        <v>26.1</v>
      </c>
      <c r="R441" t="s">
        <v>37</v>
      </c>
      <c r="S441" t="s">
        <v>1277</v>
      </c>
      <c r="T441" s="1">
        <v>43397.621562499997</v>
      </c>
      <c r="U441">
        <v>4</v>
      </c>
      <c r="V441" t="s">
        <v>55</v>
      </c>
      <c r="W441">
        <v>9</v>
      </c>
      <c r="X441" t="s">
        <v>45</v>
      </c>
      <c r="Y441">
        <v>52</v>
      </c>
      <c r="Z441">
        <v>0</v>
      </c>
      <c r="AA441" t="s">
        <v>46</v>
      </c>
      <c r="AB441">
        <v>0</v>
      </c>
      <c r="AC441" t="s">
        <v>43</v>
      </c>
      <c r="AD441">
        <v>23.23</v>
      </c>
      <c r="AE441">
        <v>29</v>
      </c>
      <c r="AF441">
        <v>0</v>
      </c>
      <c r="AG441">
        <v>0</v>
      </c>
      <c r="AH441" t="s">
        <v>1193</v>
      </c>
      <c r="AI441" t="s">
        <v>43</v>
      </c>
    </row>
    <row r="442" spans="1:35" x14ac:dyDescent="0.25">
      <c r="A442">
        <v>780</v>
      </c>
      <c r="B442" t="s">
        <v>1194</v>
      </c>
      <c r="C442" t="s">
        <v>43</v>
      </c>
      <c r="D442">
        <v>38</v>
      </c>
      <c r="E442">
        <v>1092</v>
      </c>
      <c r="F442">
        <v>7</v>
      </c>
      <c r="G442">
        <v>334</v>
      </c>
      <c r="H442">
        <v>0</v>
      </c>
      <c r="I442">
        <v>0</v>
      </c>
      <c r="J442">
        <v>0</v>
      </c>
      <c r="K442">
        <v>0</v>
      </c>
      <c r="L442">
        <v>0</v>
      </c>
      <c r="M442">
        <v>1</v>
      </c>
      <c r="N442">
        <v>648.79999999999995</v>
      </c>
      <c r="O442">
        <v>982.8</v>
      </c>
      <c r="P442">
        <v>6.49</v>
      </c>
      <c r="Q442">
        <v>9.83</v>
      </c>
      <c r="R442" t="s">
        <v>37</v>
      </c>
      <c r="S442" t="s">
        <v>1277</v>
      </c>
      <c r="T442" s="1">
        <v>43397.621562499997</v>
      </c>
      <c r="U442">
        <v>3</v>
      </c>
      <c r="V442" t="s">
        <v>38</v>
      </c>
      <c r="W442">
        <v>9</v>
      </c>
      <c r="X442" t="s">
        <v>45</v>
      </c>
      <c r="Y442">
        <v>52</v>
      </c>
      <c r="Z442">
        <v>0</v>
      </c>
      <c r="AA442" t="s">
        <v>46</v>
      </c>
      <c r="AB442">
        <v>0</v>
      </c>
      <c r="AC442" t="s">
        <v>43</v>
      </c>
      <c r="AD442">
        <v>3.34</v>
      </c>
      <c r="AE442">
        <v>10.92</v>
      </c>
      <c r="AF442">
        <v>0</v>
      </c>
      <c r="AG442">
        <v>0</v>
      </c>
      <c r="AH442" t="s">
        <v>1195</v>
      </c>
      <c r="AI442" t="s">
        <v>43</v>
      </c>
    </row>
    <row r="443" spans="1:35" x14ac:dyDescent="0.25">
      <c r="A443">
        <v>782</v>
      </c>
      <c r="B443" t="s">
        <v>1196</v>
      </c>
      <c r="C443" t="s">
        <v>48</v>
      </c>
      <c r="D443">
        <v>16</v>
      </c>
      <c r="E443">
        <v>5993</v>
      </c>
      <c r="F443">
        <v>10</v>
      </c>
      <c r="G443">
        <v>3913</v>
      </c>
      <c r="H443">
        <v>0</v>
      </c>
      <c r="I443">
        <v>0</v>
      </c>
      <c r="J443">
        <v>0</v>
      </c>
      <c r="K443">
        <v>0</v>
      </c>
      <c r="L443">
        <v>0</v>
      </c>
      <c r="M443">
        <v>1</v>
      </c>
      <c r="N443">
        <v>1480.7</v>
      </c>
      <c r="O443">
        <v>5393.7</v>
      </c>
      <c r="P443">
        <v>14.81</v>
      </c>
      <c r="Q443">
        <v>53.94</v>
      </c>
      <c r="R443" t="s">
        <v>37</v>
      </c>
      <c r="S443" t="s">
        <v>1277</v>
      </c>
      <c r="T443" s="1">
        <v>43397.621562499997</v>
      </c>
      <c r="U443">
        <v>3</v>
      </c>
      <c r="V443" t="s">
        <v>38</v>
      </c>
      <c r="W443">
        <v>7</v>
      </c>
      <c r="X443" t="s">
        <v>49</v>
      </c>
      <c r="Y443">
        <v>10</v>
      </c>
      <c r="Z443">
        <v>0</v>
      </c>
      <c r="AA443" t="s">
        <v>50</v>
      </c>
      <c r="AB443">
        <v>0</v>
      </c>
      <c r="AC443" t="s">
        <v>43</v>
      </c>
      <c r="AD443">
        <v>39.130000000000003</v>
      </c>
      <c r="AE443">
        <v>59.93</v>
      </c>
      <c r="AF443">
        <v>0</v>
      </c>
      <c r="AG443">
        <v>0</v>
      </c>
      <c r="AH443" t="s">
        <v>1197</v>
      </c>
      <c r="AI443" t="s">
        <v>43</v>
      </c>
    </row>
    <row r="444" spans="1:35" x14ac:dyDescent="0.25">
      <c r="A444">
        <v>783</v>
      </c>
      <c r="B444" t="s">
        <v>1198</v>
      </c>
      <c r="C444" t="s">
        <v>43</v>
      </c>
      <c r="D444">
        <v>505</v>
      </c>
      <c r="E444">
        <v>81</v>
      </c>
      <c r="F444">
        <v>232</v>
      </c>
      <c r="G444">
        <v>81</v>
      </c>
      <c r="H444">
        <v>0</v>
      </c>
      <c r="I444">
        <v>0</v>
      </c>
      <c r="J444">
        <v>0</v>
      </c>
      <c r="K444">
        <v>0</v>
      </c>
      <c r="L444">
        <v>0</v>
      </c>
      <c r="M444">
        <v>10</v>
      </c>
      <c r="N444">
        <v>-8.1</v>
      </c>
      <c r="O444">
        <v>72.900000000000006</v>
      </c>
      <c r="P444" s="2">
        <v>-0.08</v>
      </c>
      <c r="Q444">
        <v>0.73</v>
      </c>
      <c r="R444" t="s">
        <v>37</v>
      </c>
      <c r="S444" t="s">
        <v>1277</v>
      </c>
      <c r="T444" s="1">
        <v>43397.621562499997</v>
      </c>
      <c r="U444">
        <v>1</v>
      </c>
      <c r="V444" t="s">
        <v>44</v>
      </c>
      <c r="W444">
        <v>8</v>
      </c>
      <c r="X444" t="s">
        <v>118</v>
      </c>
      <c r="Y444">
        <v>25</v>
      </c>
      <c r="Z444">
        <v>0</v>
      </c>
      <c r="AA444" t="s">
        <v>119</v>
      </c>
      <c r="AB444">
        <v>0</v>
      </c>
      <c r="AC444" t="s">
        <v>43</v>
      </c>
      <c r="AD444">
        <v>0.81</v>
      </c>
      <c r="AE444">
        <v>0.81</v>
      </c>
      <c r="AF444">
        <v>0</v>
      </c>
      <c r="AG444">
        <v>0</v>
      </c>
      <c r="AH444" t="s">
        <v>1199</v>
      </c>
      <c r="AI444" t="s">
        <v>43</v>
      </c>
    </row>
    <row r="445" spans="1:35" x14ac:dyDescent="0.25">
      <c r="A445">
        <v>784</v>
      </c>
      <c r="B445" t="s">
        <v>1200</v>
      </c>
      <c r="C445" t="s">
        <v>43</v>
      </c>
      <c r="D445">
        <v>298</v>
      </c>
      <c r="E445">
        <v>958</v>
      </c>
      <c r="F445">
        <v>88</v>
      </c>
      <c r="G445">
        <v>951</v>
      </c>
      <c r="H445">
        <v>0</v>
      </c>
      <c r="I445">
        <v>0</v>
      </c>
      <c r="J445">
        <v>0</v>
      </c>
      <c r="K445">
        <v>0</v>
      </c>
      <c r="L445">
        <v>0</v>
      </c>
      <c r="M445">
        <v>100</v>
      </c>
      <c r="N445">
        <v>-88.8</v>
      </c>
      <c r="O445">
        <v>862.2</v>
      </c>
      <c r="P445">
        <v>-0.89</v>
      </c>
      <c r="Q445">
        <v>8.6199999999999992</v>
      </c>
      <c r="R445" t="s">
        <v>37</v>
      </c>
      <c r="S445" t="s">
        <v>1277</v>
      </c>
      <c r="T445" s="1">
        <v>43397.621562499997</v>
      </c>
      <c r="U445">
        <v>1</v>
      </c>
      <c r="V445" t="s">
        <v>44</v>
      </c>
      <c r="W445">
        <v>8</v>
      </c>
      <c r="X445" t="s">
        <v>118</v>
      </c>
      <c r="Y445">
        <v>25</v>
      </c>
      <c r="Z445">
        <v>0</v>
      </c>
      <c r="AA445" t="s">
        <v>119</v>
      </c>
      <c r="AB445">
        <v>0</v>
      </c>
      <c r="AC445" t="s">
        <v>43</v>
      </c>
      <c r="AD445">
        <v>9.51</v>
      </c>
      <c r="AE445">
        <v>9.58</v>
      </c>
      <c r="AF445">
        <v>0</v>
      </c>
      <c r="AG445">
        <v>0</v>
      </c>
      <c r="AH445" t="s">
        <v>1201</v>
      </c>
      <c r="AI445" t="s">
        <v>43</v>
      </c>
    </row>
    <row r="446" spans="1:35" x14ac:dyDescent="0.25">
      <c r="A446">
        <v>785</v>
      </c>
      <c r="B446" t="s">
        <v>1202</v>
      </c>
      <c r="C446" t="s">
        <v>43</v>
      </c>
      <c r="D446">
        <v>576</v>
      </c>
      <c r="E446">
        <v>1895</v>
      </c>
      <c r="F446">
        <v>173</v>
      </c>
      <c r="G446">
        <v>1894</v>
      </c>
      <c r="H446">
        <v>0</v>
      </c>
      <c r="I446">
        <v>0</v>
      </c>
      <c r="J446">
        <v>0</v>
      </c>
      <c r="K446">
        <v>0</v>
      </c>
      <c r="L446">
        <v>0</v>
      </c>
      <c r="M446">
        <v>100</v>
      </c>
      <c r="N446">
        <v>-188.5</v>
      </c>
      <c r="O446">
        <v>1705.5</v>
      </c>
      <c r="P446">
        <v>-1.89</v>
      </c>
      <c r="Q446">
        <v>17.059999999999999</v>
      </c>
      <c r="R446" t="s">
        <v>37</v>
      </c>
      <c r="S446" t="s">
        <v>1277</v>
      </c>
      <c r="T446" s="1">
        <v>43397.621562499997</v>
      </c>
      <c r="U446">
        <v>1</v>
      </c>
      <c r="V446" t="s">
        <v>44</v>
      </c>
      <c r="W446">
        <v>8</v>
      </c>
      <c r="X446" t="s">
        <v>118</v>
      </c>
      <c r="Y446">
        <v>25</v>
      </c>
      <c r="Z446">
        <v>0</v>
      </c>
      <c r="AA446" t="s">
        <v>119</v>
      </c>
      <c r="AB446">
        <v>0</v>
      </c>
      <c r="AC446" t="s">
        <v>43</v>
      </c>
      <c r="AD446">
        <v>18.940000000000001</v>
      </c>
      <c r="AE446">
        <v>18.95</v>
      </c>
      <c r="AF446">
        <v>0</v>
      </c>
      <c r="AG446">
        <v>0</v>
      </c>
      <c r="AH446" t="s">
        <v>1203</v>
      </c>
      <c r="AI446" t="s">
        <v>43</v>
      </c>
    </row>
    <row r="447" spans="1:35" x14ac:dyDescent="0.25">
      <c r="A447">
        <v>786</v>
      </c>
      <c r="B447" t="s">
        <v>1204</v>
      </c>
      <c r="C447" t="s">
        <v>43</v>
      </c>
      <c r="D447">
        <v>50</v>
      </c>
      <c r="E447">
        <v>19969</v>
      </c>
      <c r="F447">
        <v>33</v>
      </c>
      <c r="G447">
        <v>19299</v>
      </c>
      <c r="H447">
        <v>0</v>
      </c>
      <c r="I447">
        <v>0</v>
      </c>
      <c r="J447">
        <v>0</v>
      </c>
      <c r="K447">
        <v>0</v>
      </c>
      <c r="L447">
        <v>0</v>
      </c>
      <c r="M447">
        <v>1000</v>
      </c>
      <c r="N447">
        <v>-1326.9</v>
      </c>
      <c r="O447">
        <v>17972.099999999999</v>
      </c>
      <c r="P447">
        <v>-13.27</v>
      </c>
      <c r="Q447">
        <v>179.72</v>
      </c>
      <c r="R447" t="s">
        <v>37</v>
      </c>
      <c r="S447" t="s">
        <v>1277</v>
      </c>
      <c r="T447" s="1">
        <v>43397.621562499997</v>
      </c>
      <c r="U447">
        <v>1</v>
      </c>
      <c r="V447" t="s">
        <v>44</v>
      </c>
      <c r="W447">
        <v>8</v>
      </c>
      <c r="X447" t="s">
        <v>118</v>
      </c>
      <c r="Y447">
        <v>25</v>
      </c>
      <c r="Z447">
        <v>0</v>
      </c>
      <c r="AA447" t="s">
        <v>119</v>
      </c>
      <c r="AB447">
        <v>0</v>
      </c>
      <c r="AC447" t="s">
        <v>43</v>
      </c>
      <c r="AD447">
        <v>192.99</v>
      </c>
      <c r="AE447">
        <v>199.69</v>
      </c>
      <c r="AF447">
        <v>0</v>
      </c>
      <c r="AG447">
        <v>0</v>
      </c>
      <c r="AH447" t="s">
        <v>1205</v>
      </c>
      <c r="AI447" t="s">
        <v>43</v>
      </c>
    </row>
    <row r="448" spans="1:35" x14ac:dyDescent="0.25">
      <c r="A448">
        <v>790</v>
      </c>
      <c r="B448" t="s">
        <v>1206</v>
      </c>
      <c r="C448" t="s">
        <v>43</v>
      </c>
      <c r="D448">
        <v>23</v>
      </c>
      <c r="E448">
        <v>167</v>
      </c>
      <c r="F448">
        <v>5</v>
      </c>
      <c r="G448">
        <v>70</v>
      </c>
      <c r="H448">
        <v>0</v>
      </c>
      <c r="I448">
        <v>0</v>
      </c>
      <c r="J448">
        <v>0</v>
      </c>
      <c r="K448">
        <v>0</v>
      </c>
      <c r="L448">
        <v>0</v>
      </c>
      <c r="M448">
        <v>1</v>
      </c>
      <c r="N448">
        <v>80.3</v>
      </c>
      <c r="O448">
        <v>150.30000000000001</v>
      </c>
      <c r="P448">
        <v>0.8</v>
      </c>
      <c r="Q448">
        <v>1.5</v>
      </c>
      <c r="R448" t="s">
        <v>37</v>
      </c>
      <c r="S448" t="s">
        <v>1277</v>
      </c>
      <c r="T448" s="1">
        <v>43397.621562499997</v>
      </c>
      <c r="U448">
        <v>2</v>
      </c>
      <c r="V448" t="s">
        <v>47</v>
      </c>
      <c r="W448">
        <v>9</v>
      </c>
      <c r="X448" t="s">
        <v>45</v>
      </c>
      <c r="Y448">
        <v>52</v>
      </c>
      <c r="Z448">
        <v>0</v>
      </c>
      <c r="AA448" t="s">
        <v>46</v>
      </c>
      <c r="AB448">
        <v>0</v>
      </c>
      <c r="AC448" t="s">
        <v>43</v>
      </c>
      <c r="AD448">
        <v>0.7</v>
      </c>
      <c r="AE448">
        <v>1.67</v>
      </c>
      <c r="AF448">
        <v>0</v>
      </c>
      <c r="AG448">
        <v>0</v>
      </c>
      <c r="AH448" t="s">
        <v>1207</v>
      </c>
      <c r="AI448" t="s">
        <v>43</v>
      </c>
    </row>
    <row r="449" spans="1:35" x14ac:dyDescent="0.25">
      <c r="A449">
        <v>791</v>
      </c>
      <c r="B449" t="s">
        <v>1208</v>
      </c>
      <c r="C449" t="s">
        <v>43</v>
      </c>
      <c r="D449">
        <v>61</v>
      </c>
      <c r="E449">
        <v>176</v>
      </c>
      <c r="F449">
        <v>3</v>
      </c>
      <c r="G449">
        <v>40</v>
      </c>
      <c r="H449">
        <v>0</v>
      </c>
      <c r="I449">
        <v>0</v>
      </c>
      <c r="J449">
        <v>0</v>
      </c>
      <c r="K449">
        <v>0</v>
      </c>
      <c r="L449">
        <v>0</v>
      </c>
      <c r="M449">
        <v>1</v>
      </c>
      <c r="N449">
        <v>118.4</v>
      </c>
      <c r="O449">
        <v>158.4</v>
      </c>
      <c r="P449">
        <v>1.18</v>
      </c>
      <c r="Q449">
        <v>1.58</v>
      </c>
      <c r="R449" t="s">
        <v>37</v>
      </c>
      <c r="S449" t="s">
        <v>1277</v>
      </c>
      <c r="T449" s="1">
        <v>43397.621562499997</v>
      </c>
      <c r="U449">
        <v>2</v>
      </c>
      <c r="V449" t="s">
        <v>47</v>
      </c>
      <c r="W449">
        <v>9</v>
      </c>
      <c r="X449" t="s">
        <v>45</v>
      </c>
      <c r="Y449">
        <v>52</v>
      </c>
      <c r="Z449">
        <v>0</v>
      </c>
      <c r="AA449" t="s">
        <v>46</v>
      </c>
      <c r="AB449">
        <v>0</v>
      </c>
      <c r="AC449" t="s">
        <v>43</v>
      </c>
      <c r="AD449">
        <v>0.4</v>
      </c>
      <c r="AE449">
        <v>1.76</v>
      </c>
      <c r="AF449">
        <v>0</v>
      </c>
      <c r="AG449">
        <v>0</v>
      </c>
      <c r="AH449" t="s">
        <v>1209</v>
      </c>
      <c r="AI449" t="s">
        <v>43</v>
      </c>
    </row>
    <row r="450" spans="1:35" x14ac:dyDescent="0.25">
      <c r="A450">
        <v>792</v>
      </c>
      <c r="B450" t="s">
        <v>1210</v>
      </c>
      <c r="C450" t="s">
        <v>43</v>
      </c>
      <c r="D450">
        <v>10</v>
      </c>
      <c r="E450">
        <v>105</v>
      </c>
      <c r="F450">
        <v>5</v>
      </c>
      <c r="G450">
        <v>52</v>
      </c>
      <c r="H450">
        <v>0</v>
      </c>
      <c r="I450">
        <v>0</v>
      </c>
      <c r="J450">
        <v>0</v>
      </c>
      <c r="K450">
        <v>0</v>
      </c>
      <c r="L450">
        <v>0</v>
      </c>
      <c r="M450">
        <v>1</v>
      </c>
      <c r="N450">
        <v>42.5</v>
      </c>
      <c r="O450">
        <v>94.5</v>
      </c>
      <c r="P450">
        <v>0.43</v>
      </c>
      <c r="Q450">
        <v>0.95</v>
      </c>
      <c r="R450" t="s">
        <v>37</v>
      </c>
      <c r="S450" t="s">
        <v>1277</v>
      </c>
      <c r="T450" s="1">
        <v>43397.621562499997</v>
      </c>
      <c r="U450">
        <v>2</v>
      </c>
      <c r="V450" t="s">
        <v>47</v>
      </c>
      <c r="W450">
        <v>9</v>
      </c>
      <c r="X450" t="s">
        <v>45</v>
      </c>
      <c r="Y450">
        <v>52</v>
      </c>
      <c r="Z450">
        <v>0</v>
      </c>
      <c r="AA450" t="s">
        <v>46</v>
      </c>
      <c r="AB450">
        <v>0</v>
      </c>
      <c r="AC450" t="s">
        <v>43</v>
      </c>
      <c r="AD450">
        <v>0.52</v>
      </c>
      <c r="AE450">
        <v>1.05</v>
      </c>
      <c r="AF450">
        <v>0</v>
      </c>
      <c r="AG450">
        <v>0</v>
      </c>
      <c r="AH450" t="s">
        <v>1211</v>
      </c>
      <c r="AI450" t="s">
        <v>43</v>
      </c>
    </row>
    <row r="451" spans="1:35" x14ac:dyDescent="0.25">
      <c r="A451">
        <v>794</v>
      </c>
      <c r="B451" t="s">
        <v>1212</v>
      </c>
      <c r="C451" t="s">
        <v>1213</v>
      </c>
      <c r="D451">
        <v>83</v>
      </c>
      <c r="E451">
        <v>8000</v>
      </c>
      <c r="F451">
        <v>41</v>
      </c>
      <c r="G451">
        <v>7217</v>
      </c>
      <c r="H451">
        <v>0</v>
      </c>
      <c r="I451">
        <v>0</v>
      </c>
      <c r="J451">
        <v>0</v>
      </c>
      <c r="K451">
        <v>0</v>
      </c>
      <c r="L451">
        <v>0</v>
      </c>
      <c r="M451">
        <v>1</v>
      </c>
      <c r="N451">
        <v>-17</v>
      </c>
      <c r="O451">
        <v>7200</v>
      </c>
      <c r="P451">
        <v>-0.17</v>
      </c>
      <c r="Q451">
        <v>72</v>
      </c>
      <c r="R451" t="s">
        <v>37</v>
      </c>
      <c r="S451" t="s">
        <v>1277</v>
      </c>
      <c r="T451" s="1">
        <v>43397.621562499997</v>
      </c>
      <c r="U451">
        <v>4</v>
      </c>
      <c r="V451" t="s">
        <v>55</v>
      </c>
      <c r="W451">
        <v>6</v>
      </c>
      <c r="X451" t="s">
        <v>350</v>
      </c>
      <c r="Y451">
        <v>38</v>
      </c>
      <c r="Z451">
        <v>0</v>
      </c>
      <c r="AA451" t="s">
        <v>547</v>
      </c>
      <c r="AB451">
        <v>0</v>
      </c>
      <c r="AC451" t="s">
        <v>43</v>
      </c>
      <c r="AD451">
        <v>72.17</v>
      </c>
      <c r="AE451">
        <v>80</v>
      </c>
      <c r="AF451">
        <v>0</v>
      </c>
      <c r="AG451">
        <v>0</v>
      </c>
      <c r="AH451" t="s">
        <v>1214</v>
      </c>
    </row>
    <row r="452" spans="1:35" x14ac:dyDescent="0.25">
      <c r="A452">
        <v>795</v>
      </c>
      <c r="B452" s="2" t="s">
        <v>1215</v>
      </c>
      <c r="C452" t="s">
        <v>43</v>
      </c>
      <c r="D452">
        <v>13</v>
      </c>
      <c r="E452">
        <v>1283</v>
      </c>
      <c r="F452">
        <v>21</v>
      </c>
      <c r="G452">
        <v>1060</v>
      </c>
      <c r="H452">
        <v>0</v>
      </c>
      <c r="I452">
        <v>0</v>
      </c>
      <c r="J452">
        <v>0</v>
      </c>
      <c r="K452">
        <v>0</v>
      </c>
      <c r="L452">
        <v>0</v>
      </c>
      <c r="M452">
        <v>1</v>
      </c>
      <c r="N452">
        <v>94.7</v>
      </c>
      <c r="O452">
        <v>1154.7</v>
      </c>
      <c r="P452">
        <v>0.95</v>
      </c>
      <c r="Q452">
        <v>11.55</v>
      </c>
      <c r="R452" t="s">
        <v>37</v>
      </c>
      <c r="S452" t="s">
        <v>1277</v>
      </c>
      <c r="T452" s="1">
        <v>43397.621562499997</v>
      </c>
      <c r="U452">
        <v>2</v>
      </c>
      <c r="V452" t="s">
        <v>47</v>
      </c>
      <c r="W452">
        <v>6</v>
      </c>
      <c r="X452" t="s">
        <v>350</v>
      </c>
      <c r="Y452">
        <v>2</v>
      </c>
      <c r="Z452">
        <v>0</v>
      </c>
      <c r="AA452" t="s">
        <v>351</v>
      </c>
      <c r="AB452">
        <v>0</v>
      </c>
      <c r="AC452" t="s">
        <v>43</v>
      </c>
      <c r="AD452">
        <v>10.6</v>
      </c>
      <c r="AE452">
        <v>12.83</v>
      </c>
      <c r="AF452">
        <v>0</v>
      </c>
      <c r="AG452">
        <v>0</v>
      </c>
      <c r="AH452" t="s">
        <v>1216</v>
      </c>
      <c r="AI452" t="s">
        <v>43</v>
      </c>
    </row>
    <row r="453" spans="1:35" x14ac:dyDescent="0.25">
      <c r="A453">
        <v>796</v>
      </c>
      <c r="B453" s="2" t="s">
        <v>1217</v>
      </c>
      <c r="C453" t="s">
        <v>43</v>
      </c>
      <c r="D453">
        <v>56</v>
      </c>
      <c r="E453">
        <v>2370</v>
      </c>
      <c r="F453">
        <v>20</v>
      </c>
      <c r="G453">
        <v>1838</v>
      </c>
      <c r="H453">
        <v>0</v>
      </c>
      <c r="I453">
        <v>0</v>
      </c>
      <c r="J453">
        <v>0</v>
      </c>
      <c r="K453">
        <v>0</v>
      </c>
      <c r="L453">
        <v>0</v>
      </c>
      <c r="M453">
        <v>1</v>
      </c>
      <c r="N453">
        <v>295</v>
      </c>
      <c r="O453">
        <v>2133</v>
      </c>
      <c r="P453">
        <v>2.95</v>
      </c>
      <c r="Q453">
        <v>21.33</v>
      </c>
      <c r="R453" t="s">
        <v>37</v>
      </c>
      <c r="S453" t="s">
        <v>1277</v>
      </c>
      <c r="T453" s="1">
        <v>43397.621562499997</v>
      </c>
      <c r="U453">
        <v>2</v>
      </c>
      <c r="V453" t="s">
        <v>47</v>
      </c>
      <c r="W453">
        <v>6</v>
      </c>
      <c r="X453" t="s">
        <v>350</v>
      </c>
      <c r="Y453">
        <v>2</v>
      </c>
      <c r="Z453">
        <v>0</v>
      </c>
      <c r="AA453" t="s">
        <v>351</v>
      </c>
      <c r="AB453">
        <v>0</v>
      </c>
      <c r="AC453" t="s">
        <v>43</v>
      </c>
      <c r="AD453">
        <v>18.38</v>
      </c>
      <c r="AE453">
        <v>23.7</v>
      </c>
      <c r="AF453">
        <v>0</v>
      </c>
      <c r="AG453">
        <v>0</v>
      </c>
      <c r="AH453" t="s">
        <v>1218</v>
      </c>
      <c r="AI453" t="s">
        <v>43</v>
      </c>
    </row>
    <row r="454" spans="1:35" x14ac:dyDescent="0.25">
      <c r="A454">
        <v>799</v>
      </c>
      <c r="B454" s="2" t="s">
        <v>1219</v>
      </c>
      <c r="C454" t="s">
        <v>43</v>
      </c>
      <c r="D454">
        <v>47</v>
      </c>
      <c r="E454">
        <v>7899</v>
      </c>
      <c r="F454">
        <v>4</v>
      </c>
      <c r="G454">
        <v>7001</v>
      </c>
      <c r="H454">
        <v>0</v>
      </c>
      <c r="I454">
        <v>0</v>
      </c>
      <c r="J454">
        <v>0</v>
      </c>
      <c r="K454">
        <v>0</v>
      </c>
      <c r="L454">
        <v>0</v>
      </c>
      <c r="M454">
        <v>1</v>
      </c>
      <c r="N454">
        <v>108.1</v>
      </c>
      <c r="O454">
        <v>7109.1</v>
      </c>
      <c r="P454">
        <v>1.08</v>
      </c>
      <c r="Q454">
        <v>71.09</v>
      </c>
      <c r="R454" t="s">
        <v>37</v>
      </c>
      <c r="S454" t="s">
        <v>1277</v>
      </c>
      <c r="T454" s="1">
        <v>43397.621562499997</v>
      </c>
      <c r="U454">
        <v>4</v>
      </c>
      <c r="V454" t="s">
        <v>55</v>
      </c>
      <c r="W454">
        <v>6</v>
      </c>
      <c r="X454" t="s">
        <v>350</v>
      </c>
      <c r="Y454">
        <v>60</v>
      </c>
      <c r="Z454">
        <v>0</v>
      </c>
      <c r="AA454" t="s">
        <v>1220</v>
      </c>
      <c r="AB454">
        <v>0</v>
      </c>
      <c r="AC454" t="s">
        <v>43</v>
      </c>
      <c r="AD454">
        <v>70.010000000000005</v>
      </c>
      <c r="AE454">
        <v>78.989999999999995</v>
      </c>
      <c r="AF454">
        <v>0</v>
      </c>
      <c r="AG454">
        <v>0</v>
      </c>
      <c r="AH454" t="s">
        <v>1221</v>
      </c>
      <c r="AI454" t="s">
        <v>43</v>
      </c>
    </row>
    <row r="455" spans="1:35" x14ac:dyDescent="0.25">
      <c r="A455">
        <v>800</v>
      </c>
      <c r="B455" s="2" t="s">
        <v>1222</v>
      </c>
      <c r="C455" t="s">
        <v>43</v>
      </c>
      <c r="D455">
        <v>35</v>
      </c>
      <c r="E455">
        <v>9880</v>
      </c>
      <c r="F455">
        <v>14</v>
      </c>
      <c r="G455">
        <v>7778</v>
      </c>
      <c r="H455">
        <v>0</v>
      </c>
      <c r="I455">
        <v>0</v>
      </c>
      <c r="J455">
        <v>0</v>
      </c>
      <c r="K455">
        <v>0</v>
      </c>
      <c r="L455">
        <v>0</v>
      </c>
      <c r="M455">
        <v>1</v>
      </c>
      <c r="N455">
        <v>1114</v>
      </c>
      <c r="O455">
        <v>8892</v>
      </c>
      <c r="P455">
        <v>11.14</v>
      </c>
      <c r="Q455">
        <v>88.92</v>
      </c>
      <c r="R455" t="s">
        <v>37</v>
      </c>
      <c r="S455" t="s">
        <v>1277</v>
      </c>
      <c r="T455" s="1">
        <v>43397.621562499997</v>
      </c>
      <c r="U455">
        <v>4</v>
      </c>
      <c r="V455" t="s">
        <v>55</v>
      </c>
      <c r="W455">
        <v>6</v>
      </c>
      <c r="X455" t="s">
        <v>350</v>
      </c>
      <c r="Y455">
        <v>60</v>
      </c>
      <c r="Z455">
        <v>0</v>
      </c>
      <c r="AA455" t="s">
        <v>1220</v>
      </c>
      <c r="AB455">
        <v>0</v>
      </c>
      <c r="AC455" t="s">
        <v>43</v>
      </c>
      <c r="AD455">
        <v>77.78</v>
      </c>
      <c r="AE455">
        <v>98.8</v>
      </c>
      <c r="AF455">
        <v>0</v>
      </c>
      <c r="AG455">
        <v>0</v>
      </c>
      <c r="AH455" t="s">
        <v>1223</v>
      </c>
      <c r="AI455" t="s">
        <v>43</v>
      </c>
    </row>
    <row r="456" spans="1:35" x14ac:dyDescent="0.25">
      <c r="A456">
        <v>802</v>
      </c>
      <c r="B456" t="s">
        <v>1224</v>
      </c>
      <c r="C456" t="s">
        <v>43</v>
      </c>
      <c r="D456">
        <v>31</v>
      </c>
      <c r="E456">
        <v>583</v>
      </c>
      <c r="F456">
        <v>10</v>
      </c>
      <c r="G456">
        <v>353</v>
      </c>
      <c r="H456">
        <v>0</v>
      </c>
      <c r="I456">
        <v>0</v>
      </c>
      <c r="J456">
        <v>0</v>
      </c>
      <c r="K456">
        <v>0</v>
      </c>
      <c r="L456">
        <v>0</v>
      </c>
      <c r="M456">
        <v>1</v>
      </c>
      <c r="N456">
        <v>171.7</v>
      </c>
      <c r="O456">
        <v>524.70000000000005</v>
      </c>
      <c r="P456">
        <v>1.72</v>
      </c>
      <c r="Q456">
        <v>5.25</v>
      </c>
      <c r="R456" t="s">
        <v>37</v>
      </c>
      <c r="S456" t="s">
        <v>1277</v>
      </c>
      <c r="T456" s="1">
        <v>43397.621562499997</v>
      </c>
      <c r="U456">
        <v>5</v>
      </c>
      <c r="V456" t="s">
        <v>140</v>
      </c>
      <c r="W456">
        <v>9</v>
      </c>
      <c r="X456" t="s">
        <v>45</v>
      </c>
      <c r="Y456">
        <v>52</v>
      </c>
      <c r="Z456">
        <v>0</v>
      </c>
      <c r="AA456" t="s">
        <v>46</v>
      </c>
      <c r="AB456">
        <v>0</v>
      </c>
      <c r="AC456" t="s">
        <v>43</v>
      </c>
      <c r="AD456">
        <v>3.53</v>
      </c>
      <c r="AE456">
        <v>5.83</v>
      </c>
      <c r="AF456">
        <v>0</v>
      </c>
      <c r="AG456">
        <v>0</v>
      </c>
      <c r="AH456" t="s">
        <v>1225</v>
      </c>
      <c r="AI456" t="s">
        <v>43</v>
      </c>
    </row>
    <row r="457" spans="1:35" x14ac:dyDescent="0.25">
      <c r="A457">
        <v>803</v>
      </c>
      <c r="B457" t="s">
        <v>1226</v>
      </c>
      <c r="C457" t="s">
        <v>43</v>
      </c>
      <c r="D457">
        <v>38</v>
      </c>
      <c r="E457">
        <v>211</v>
      </c>
      <c r="F457">
        <v>68</v>
      </c>
      <c r="G457">
        <v>111</v>
      </c>
      <c r="H457">
        <v>0</v>
      </c>
      <c r="I457">
        <v>0</v>
      </c>
      <c r="J457">
        <v>0</v>
      </c>
      <c r="K457">
        <v>0</v>
      </c>
      <c r="L457">
        <v>0</v>
      </c>
      <c r="M457">
        <v>1</v>
      </c>
      <c r="N457">
        <v>78.900000000000006</v>
      </c>
      <c r="O457">
        <v>189.9</v>
      </c>
      <c r="P457">
        <v>0.79</v>
      </c>
      <c r="Q457">
        <v>1.9</v>
      </c>
      <c r="R457" t="s">
        <v>37</v>
      </c>
      <c r="S457" t="s">
        <v>1277</v>
      </c>
      <c r="T457" s="1">
        <v>43397.621562499997</v>
      </c>
      <c r="U457">
        <v>1</v>
      </c>
      <c r="V457" t="s">
        <v>44</v>
      </c>
      <c r="W457">
        <v>9</v>
      </c>
      <c r="X457" t="s">
        <v>45</v>
      </c>
      <c r="Y457">
        <v>52</v>
      </c>
      <c r="Z457">
        <v>0</v>
      </c>
      <c r="AA457" t="s">
        <v>46</v>
      </c>
      <c r="AB457">
        <v>0</v>
      </c>
      <c r="AC457" t="s">
        <v>43</v>
      </c>
      <c r="AD457">
        <v>1.1100000000000001</v>
      </c>
      <c r="AE457">
        <v>2.11</v>
      </c>
      <c r="AF457">
        <v>0</v>
      </c>
      <c r="AG457">
        <v>0</v>
      </c>
      <c r="AH457" t="s">
        <v>1227</v>
      </c>
      <c r="AI457" t="s">
        <v>43</v>
      </c>
    </row>
    <row r="458" spans="1:35" x14ac:dyDescent="0.25">
      <c r="A458">
        <v>804</v>
      </c>
      <c r="B458" t="s">
        <v>1228</v>
      </c>
      <c r="C458" t="s">
        <v>43</v>
      </c>
      <c r="D458">
        <v>22</v>
      </c>
      <c r="E458">
        <v>144</v>
      </c>
      <c r="F458">
        <v>6</v>
      </c>
      <c r="G458">
        <v>72</v>
      </c>
      <c r="H458">
        <v>0</v>
      </c>
      <c r="I458">
        <v>0</v>
      </c>
      <c r="J458">
        <v>0</v>
      </c>
      <c r="K458">
        <v>0</v>
      </c>
      <c r="L458">
        <v>0</v>
      </c>
      <c r="M458">
        <v>1</v>
      </c>
      <c r="N458">
        <v>57.6</v>
      </c>
      <c r="O458">
        <v>129.6</v>
      </c>
      <c r="P458">
        <v>0.57999999999999996</v>
      </c>
      <c r="Q458">
        <v>1.3</v>
      </c>
      <c r="R458" t="s">
        <v>37</v>
      </c>
      <c r="S458" t="s">
        <v>1277</v>
      </c>
      <c r="T458" s="1">
        <v>43397.621562499997</v>
      </c>
      <c r="U458">
        <v>1</v>
      </c>
      <c r="V458" t="s">
        <v>44</v>
      </c>
      <c r="W458">
        <v>9</v>
      </c>
      <c r="X458" t="s">
        <v>45</v>
      </c>
      <c r="Y458">
        <v>52</v>
      </c>
      <c r="Z458">
        <v>0</v>
      </c>
      <c r="AA458" t="s">
        <v>46</v>
      </c>
      <c r="AB458">
        <v>0</v>
      </c>
      <c r="AC458" t="s">
        <v>43</v>
      </c>
      <c r="AD458">
        <v>0.72</v>
      </c>
      <c r="AE458">
        <v>1.44</v>
      </c>
      <c r="AF458">
        <v>0</v>
      </c>
      <c r="AG458">
        <v>0</v>
      </c>
      <c r="AH458" t="s">
        <v>1229</v>
      </c>
      <c r="AI458" t="s">
        <v>43</v>
      </c>
    </row>
    <row r="459" spans="1:35" x14ac:dyDescent="0.25">
      <c r="A459">
        <v>805</v>
      </c>
      <c r="B459" t="s">
        <v>1230</v>
      </c>
      <c r="C459" t="s">
        <v>43</v>
      </c>
      <c r="D459">
        <v>39</v>
      </c>
      <c r="E459">
        <v>221</v>
      </c>
      <c r="F459">
        <v>29</v>
      </c>
      <c r="G459">
        <v>105</v>
      </c>
      <c r="H459">
        <v>0</v>
      </c>
      <c r="I459">
        <v>0</v>
      </c>
      <c r="J459">
        <v>0</v>
      </c>
      <c r="K459">
        <v>0</v>
      </c>
      <c r="L459">
        <v>0</v>
      </c>
      <c r="M459">
        <v>1</v>
      </c>
      <c r="N459">
        <v>93.9</v>
      </c>
      <c r="O459">
        <v>198.9</v>
      </c>
      <c r="P459">
        <v>0.94</v>
      </c>
      <c r="Q459">
        <v>1.99</v>
      </c>
      <c r="R459" t="s">
        <v>37</v>
      </c>
      <c r="S459" t="s">
        <v>1277</v>
      </c>
      <c r="T459" s="1">
        <v>43397.621562499997</v>
      </c>
      <c r="U459">
        <v>1</v>
      </c>
      <c r="V459" t="s">
        <v>44</v>
      </c>
      <c r="W459">
        <v>9</v>
      </c>
      <c r="X459" t="s">
        <v>45</v>
      </c>
      <c r="Y459">
        <v>52</v>
      </c>
      <c r="Z459">
        <v>0</v>
      </c>
      <c r="AA459" t="s">
        <v>46</v>
      </c>
      <c r="AB459">
        <v>0</v>
      </c>
      <c r="AC459" t="s">
        <v>43</v>
      </c>
      <c r="AD459">
        <v>1.05</v>
      </c>
      <c r="AE459">
        <v>2.21</v>
      </c>
      <c r="AF459">
        <v>0</v>
      </c>
      <c r="AG459">
        <v>0</v>
      </c>
      <c r="AH459" t="s">
        <v>1231</v>
      </c>
      <c r="AI459" t="s">
        <v>43</v>
      </c>
    </row>
    <row r="460" spans="1:35" x14ac:dyDescent="0.25">
      <c r="A460">
        <v>806</v>
      </c>
      <c r="B460" t="s">
        <v>1232</v>
      </c>
      <c r="C460" t="s">
        <v>43</v>
      </c>
      <c r="D460">
        <v>27</v>
      </c>
      <c r="E460">
        <v>1309</v>
      </c>
      <c r="F460">
        <v>31</v>
      </c>
      <c r="G460">
        <v>714</v>
      </c>
      <c r="H460">
        <v>0</v>
      </c>
      <c r="I460">
        <v>0</v>
      </c>
      <c r="J460">
        <v>0</v>
      </c>
      <c r="K460">
        <v>0</v>
      </c>
      <c r="L460">
        <v>0</v>
      </c>
      <c r="M460">
        <v>1</v>
      </c>
      <c r="N460">
        <v>464.1</v>
      </c>
      <c r="O460">
        <v>1178.0999999999999</v>
      </c>
      <c r="P460">
        <v>4.6399999999999997</v>
      </c>
      <c r="Q460">
        <v>11.78</v>
      </c>
      <c r="R460" t="s">
        <v>37</v>
      </c>
      <c r="S460" t="s">
        <v>1277</v>
      </c>
      <c r="T460" s="1">
        <v>43397.621562499997</v>
      </c>
      <c r="U460">
        <v>1</v>
      </c>
      <c r="V460" t="s">
        <v>44</v>
      </c>
      <c r="W460">
        <v>9</v>
      </c>
      <c r="X460" t="s">
        <v>45</v>
      </c>
      <c r="Y460">
        <v>52</v>
      </c>
      <c r="Z460">
        <v>0</v>
      </c>
      <c r="AA460" t="s">
        <v>46</v>
      </c>
      <c r="AB460">
        <v>0</v>
      </c>
      <c r="AC460" t="s">
        <v>43</v>
      </c>
      <c r="AD460">
        <v>7.14</v>
      </c>
      <c r="AE460">
        <v>13.09</v>
      </c>
      <c r="AF460">
        <v>0</v>
      </c>
      <c r="AG460">
        <v>0</v>
      </c>
      <c r="AH460" t="s">
        <v>1233</v>
      </c>
      <c r="AI460" t="s">
        <v>43</v>
      </c>
    </row>
    <row r="461" spans="1:35" x14ac:dyDescent="0.25">
      <c r="A461">
        <v>808</v>
      </c>
      <c r="B461" t="s">
        <v>1234</v>
      </c>
      <c r="C461" t="s">
        <v>1235</v>
      </c>
      <c r="D461">
        <v>21</v>
      </c>
      <c r="E461">
        <v>1938</v>
      </c>
      <c r="F461">
        <v>9</v>
      </c>
      <c r="G461">
        <v>1401</v>
      </c>
      <c r="H461">
        <v>0</v>
      </c>
      <c r="I461">
        <v>0</v>
      </c>
      <c r="J461">
        <v>0</v>
      </c>
      <c r="K461">
        <v>0</v>
      </c>
      <c r="L461">
        <v>0</v>
      </c>
      <c r="M461">
        <v>1</v>
      </c>
      <c r="N461">
        <v>343.2</v>
      </c>
      <c r="O461">
        <v>1744.2</v>
      </c>
      <c r="P461">
        <v>3.43</v>
      </c>
      <c r="Q461">
        <v>17.440000000000001</v>
      </c>
      <c r="R461" t="s">
        <v>37</v>
      </c>
      <c r="S461" t="s">
        <v>1277</v>
      </c>
      <c r="T461" s="1">
        <v>43397.621562499997</v>
      </c>
      <c r="U461">
        <v>5</v>
      </c>
      <c r="V461" t="s">
        <v>140</v>
      </c>
      <c r="W461">
        <v>7</v>
      </c>
      <c r="X461" t="s">
        <v>49</v>
      </c>
      <c r="Y461">
        <v>10</v>
      </c>
      <c r="Z461">
        <v>0</v>
      </c>
      <c r="AA461" t="s">
        <v>50</v>
      </c>
      <c r="AB461">
        <v>0</v>
      </c>
      <c r="AC461" t="s">
        <v>43</v>
      </c>
      <c r="AD461">
        <v>14.01</v>
      </c>
      <c r="AE461">
        <v>19.38</v>
      </c>
      <c r="AF461">
        <v>0</v>
      </c>
      <c r="AG461">
        <v>0</v>
      </c>
      <c r="AH461" t="s">
        <v>1236</v>
      </c>
      <c r="AI461" t="s">
        <v>43</v>
      </c>
    </row>
    <row r="462" spans="1:35" x14ac:dyDescent="0.25">
      <c r="A462">
        <v>809</v>
      </c>
      <c r="B462" t="s">
        <v>1237</v>
      </c>
      <c r="C462" t="s">
        <v>1238</v>
      </c>
      <c r="D462">
        <v>22</v>
      </c>
      <c r="E462">
        <v>179998</v>
      </c>
      <c r="F462">
        <v>17</v>
      </c>
      <c r="G462">
        <v>167000</v>
      </c>
      <c r="H462">
        <v>0</v>
      </c>
      <c r="I462">
        <v>0</v>
      </c>
      <c r="J462">
        <v>0</v>
      </c>
      <c r="K462">
        <v>0</v>
      </c>
      <c r="L462">
        <v>0</v>
      </c>
      <c r="M462">
        <v>1</v>
      </c>
      <c r="N462">
        <v>-5001.8</v>
      </c>
      <c r="O462">
        <v>161998.20000000001</v>
      </c>
      <c r="P462">
        <v>-50.02</v>
      </c>
      <c r="Q462">
        <v>1619.98</v>
      </c>
      <c r="R462" t="s">
        <v>37</v>
      </c>
      <c r="S462" t="s">
        <v>1277</v>
      </c>
      <c r="T462" s="1">
        <v>43397.621562499997</v>
      </c>
      <c r="U462">
        <v>3</v>
      </c>
      <c r="V462" t="s">
        <v>38</v>
      </c>
      <c r="W462">
        <v>1</v>
      </c>
      <c r="X462" t="s">
        <v>101</v>
      </c>
      <c r="Y462">
        <v>5</v>
      </c>
      <c r="Z462">
        <v>0</v>
      </c>
      <c r="AA462" t="s">
        <v>182</v>
      </c>
      <c r="AB462">
        <v>0</v>
      </c>
      <c r="AC462" t="s">
        <v>43</v>
      </c>
      <c r="AD462">
        <v>1670</v>
      </c>
      <c r="AE462">
        <v>1799.98</v>
      </c>
      <c r="AF462">
        <v>0</v>
      </c>
      <c r="AG462">
        <v>0</v>
      </c>
      <c r="AH462" t="s">
        <v>1239</v>
      </c>
    </row>
    <row r="463" spans="1:35" x14ac:dyDescent="0.25">
      <c r="A463">
        <v>810</v>
      </c>
      <c r="B463" t="s">
        <v>1240</v>
      </c>
      <c r="C463" t="s">
        <v>1241</v>
      </c>
      <c r="D463">
        <v>12</v>
      </c>
      <c r="E463">
        <v>10744</v>
      </c>
      <c r="F463">
        <v>8</v>
      </c>
      <c r="G463">
        <v>8820</v>
      </c>
      <c r="H463">
        <v>0</v>
      </c>
      <c r="I463">
        <v>0</v>
      </c>
      <c r="J463">
        <v>0</v>
      </c>
      <c r="K463">
        <v>0</v>
      </c>
      <c r="L463">
        <v>0</v>
      </c>
      <c r="M463">
        <v>1</v>
      </c>
      <c r="N463">
        <v>849.6</v>
      </c>
      <c r="O463">
        <v>9669.6</v>
      </c>
      <c r="P463">
        <v>8.5</v>
      </c>
      <c r="Q463">
        <v>96.7</v>
      </c>
      <c r="R463" t="s">
        <v>37</v>
      </c>
      <c r="S463" t="s">
        <v>1277</v>
      </c>
      <c r="T463" s="1">
        <v>43397.621562499997</v>
      </c>
      <c r="U463">
        <v>4</v>
      </c>
      <c r="V463" t="s">
        <v>55</v>
      </c>
      <c r="W463">
        <v>6</v>
      </c>
      <c r="X463" t="s">
        <v>350</v>
      </c>
      <c r="Y463">
        <v>2</v>
      </c>
      <c r="Z463">
        <v>0</v>
      </c>
      <c r="AA463" t="s">
        <v>351</v>
      </c>
      <c r="AB463">
        <v>0</v>
      </c>
      <c r="AC463" t="s">
        <v>43</v>
      </c>
      <c r="AD463">
        <v>88.2</v>
      </c>
      <c r="AE463">
        <v>107.44</v>
      </c>
      <c r="AF463">
        <v>0</v>
      </c>
      <c r="AG463">
        <v>0</v>
      </c>
      <c r="AH463" t="s">
        <v>1242</v>
      </c>
    </row>
    <row r="464" spans="1:35" x14ac:dyDescent="0.25">
      <c r="A464">
        <v>811</v>
      </c>
      <c r="B464" t="s">
        <v>1243</v>
      </c>
      <c r="C464" t="s">
        <v>1241</v>
      </c>
      <c r="D464">
        <v>27</v>
      </c>
      <c r="E464">
        <v>9499</v>
      </c>
      <c r="F464">
        <v>14</v>
      </c>
      <c r="G464">
        <v>8651</v>
      </c>
      <c r="H464">
        <v>0</v>
      </c>
      <c r="I464">
        <v>0</v>
      </c>
      <c r="J464">
        <v>0</v>
      </c>
      <c r="K464">
        <v>0</v>
      </c>
      <c r="L464">
        <v>0</v>
      </c>
      <c r="M464">
        <v>1</v>
      </c>
      <c r="N464">
        <v>-101.9</v>
      </c>
      <c r="O464">
        <v>8549.1</v>
      </c>
      <c r="P464">
        <v>-1.02</v>
      </c>
      <c r="Q464">
        <v>85.49</v>
      </c>
      <c r="R464" t="s">
        <v>37</v>
      </c>
      <c r="S464" t="s">
        <v>1277</v>
      </c>
      <c r="T464" s="1">
        <v>43397.621562499997</v>
      </c>
      <c r="U464">
        <v>4</v>
      </c>
      <c r="V464" t="s">
        <v>55</v>
      </c>
      <c r="W464">
        <v>6</v>
      </c>
      <c r="X464" t="s">
        <v>350</v>
      </c>
      <c r="Y464">
        <v>2</v>
      </c>
      <c r="Z464">
        <v>0</v>
      </c>
      <c r="AA464" t="s">
        <v>351</v>
      </c>
      <c r="AB464">
        <v>0</v>
      </c>
      <c r="AC464" t="s">
        <v>43</v>
      </c>
      <c r="AD464">
        <v>86.51</v>
      </c>
      <c r="AE464">
        <v>94.99</v>
      </c>
      <c r="AF464">
        <v>0</v>
      </c>
      <c r="AG464">
        <v>0</v>
      </c>
      <c r="AH464" t="s">
        <v>1244</v>
      </c>
    </row>
    <row r="465" spans="1:35" x14ac:dyDescent="0.25">
      <c r="A465">
        <v>812</v>
      </c>
      <c r="B465" t="s">
        <v>1245</v>
      </c>
      <c r="C465" t="s">
        <v>1246</v>
      </c>
      <c r="D465">
        <v>44</v>
      </c>
      <c r="E465">
        <v>7472</v>
      </c>
      <c r="F465">
        <v>11</v>
      </c>
      <c r="G465">
        <v>6409</v>
      </c>
      <c r="H465">
        <v>0</v>
      </c>
      <c r="I465">
        <v>0</v>
      </c>
      <c r="J465">
        <v>0</v>
      </c>
      <c r="K465">
        <v>0</v>
      </c>
      <c r="L465">
        <v>0</v>
      </c>
      <c r="M465">
        <v>1</v>
      </c>
      <c r="N465">
        <v>315.8</v>
      </c>
      <c r="O465">
        <v>6724.8</v>
      </c>
      <c r="P465">
        <v>3.16</v>
      </c>
      <c r="Q465">
        <v>67.25</v>
      </c>
      <c r="R465" t="s">
        <v>37</v>
      </c>
      <c r="S465" t="s">
        <v>1277</v>
      </c>
      <c r="T465" s="1">
        <v>43397.621562499997</v>
      </c>
      <c r="U465">
        <v>4</v>
      </c>
      <c r="V465" t="s">
        <v>55</v>
      </c>
      <c r="W465">
        <v>6</v>
      </c>
      <c r="X465" t="s">
        <v>350</v>
      </c>
      <c r="Y465">
        <v>2</v>
      </c>
      <c r="Z465">
        <v>0</v>
      </c>
      <c r="AA465" t="s">
        <v>351</v>
      </c>
      <c r="AB465">
        <v>0</v>
      </c>
      <c r="AC465" t="s">
        <v>43</v>
      </c>
      <c r="AD465">
        <v>64.09</v>
      </c>
      <c r="AE465">
        <v>74.72</v>
      </c>
      <c r="AF465">
        <v>0</v>
      </c>
      <c r="AG465">
        <v>0</v>
      </c>
      <c r="AH465" t="s">
        <v>1247</v>
      </c>
    </row>
    <row r="466" spans="1:35" x14ac:dyDescent="0.25">
      <c r="A466">
        <v>815</v>
      </c>
      <c r="B466" t="s">
        <v>1248</v>
      </c>
      <c r="C466" t="s">
        <v>43</v>
      </c>
      <c r="D466">
        <v>46</v>
      </c>
      <c r="E466">
        <v>708</v>
      </c>
      <c r="F466">
        <v>15</v>
      </c>
      <c r="G466">
        <v>400</v>
      </c>
      <c r="H466">
        <v>0</v>
      </c>
      <c r="I466">
        <v>0</v>
      </c>
      <c r="J466">
        <v>0</v>
      </c>
      <c r="K466">
        <v>0</v>
      </c>
      <c r="L466">
        <v>0</v>
      </c>
      <c r="M466">
        <v>1</v>
      </c>
      <c r="N466">
        <v>237.2</v>
      </c>
      <c r="O466">
        <v>637.20000000000005</v>
      </c>
      <c r="P466">
        <v>2.37</v>
      </c>
      <c r="Q466">
        <v>6.37</v>
      </c>
      <c r="R466" t="s">
        <v>37</v>
      </c>
      <c r="S466" t="s">
        <v>1277</v>
      </c>
      <c r="T466" s="1">
        <v>43397.621562499997</v>
      </c>
      <c r="U466">
        <v>5</v>
      </c>
      <c r="V466" t="s">
        <v>140</v>
      </c>
      <c r="W466">
        <v>9</v>
      </c>
      <c r="X466" t="s">
        <v>45</v>
      </c>
      <c r="Y466">
        <v>52</v>
      </c>
      <c r="Z466">
        <v>0</v>
      </c>
      <c r="AA466" t="s">
        <v>46</v>
      </c>
      <c r="AB466">
        <v>0</v>
      </c>
      <c r="AC466" t="s">
        <v>43</v>
      </c>
      <c r="AD466">
        <v>4</v>
      </c>
      <c r="AE466">
        <v>7.08</v>
      </c>
      <c r="AF466">
        <v>0</v>
      </c>
      <c r="AG466">
        <v>0</v>
      </c>
      <c r="AH466" t="s">
        <v>1249</v>
      </c>
      <c r="AI466" t="s">
        <v>43</v>
      </c>
    </row>
    <row r="467" spans="1:35" x14ac:dyDescent="0.25">
      <c r="A467">
        <v>819</v>
      </c>
      <c r="B467" t="s">
        <v>1250</v>
      </c>
      <c r="C467" t="s">
        <v>287</v>
      </c>
      <c r="D467">
        <v>16</v>
      </c>
      <c r="E467">
        <v>4612</v>
      </c>
      <c r="F467">
        <v>13</v>
      </c>
      <c r="G467">
        <v>3200</v>
      </c>
      <c r="H467">
        <v>0</v>
      </c>
      <c r="I467">
        <v>0</v>
      </c>
      <c r="J467">
        <v>0</v>
      </c>
      <c r="K467">
        <v>0</v>
      </c>
      <c r="L467">
        <v>0</v>
      </c>
      <c r="M467">
        <v>1</v>
      </c>
      <c r="N467">
        <v>950.8</v>
      </c>
      <c r="O467">
        <v>4150.8</v>
      </c>
      <c r="P467">
        <v>9.51</v>
      </c>
      <c r="Q467">
        <v>41.51</v>
      </c>
      <c r="R467" t="s">
        <v>37</v>
      </c>
      <c r="S467" t="s">
        <v>1277</v>
      </c>
      <c r="T467" s="1">
        <v>43397.621562499997</v>
      </c>
      <c r="U467">
        <v>5</v>
      </c>
      <c r="V467" t="s">
        <v>140</v>
      </c>
      <c r="W467">
        <v>7</v>
      </c>
      <c r="X467" t="s">
        <v>49</v>
      </c>
      <c r="Y467">
        <v>10</v>
      </c>
      <c r="Z467">
        <v>0</v>
      </c>
      <c r="AA467" t="s">
        <v>50</v>
      </c>
      <c r="AB467">
        <v>0</v>
      </c>
      <c r="AC467" t="s">
        <v>43</v>
      </c>
      <c r="AD467">
        <v>32</v>
      </c>
      <c r="AE467">
        <v>46.12</v>
      </c>
      <c r="AF467">
        <v>0</v>
      </c>
      <c r="AG467">
        <v>0</v>
      </c>
      <c r="AH467" t="s">
        <v>1251</v>
      </c>
      <c r="AI467" t="s">
        <v>43</v>
      </c>
    </row>
    <row r="468" spans="1:35" x14ac:dyDescent="0.25">
      <c r="A468">
        <v>823</v>
      </c>
      <c r="B468" t="s">
        <v>1252</v>
      </c>
      <c r="C468" t="s">
        <v>43</v>
      </c>
      <c r="D468">
        <v>66</v>
      </c>
      <c r="E468">
        <v>1444</v>
      </c>
      <c r="F468">
        <v>7</v>
      </c>
      <c r="G468">
        <v>802</v>
      </c>
      <c r="H468">
        <v>0</v>
      </c>
      <c r="I468">
        <v>0</v>
      </c>
      <c r="J468">
        <v>0</v>
      </c>
      <c r="K468">
        <v>0</v>
      </c>
      <c r="L468">
        <v>0</v>
      </c>
      <c r="M468">
        <v>1</v>
      </c>
      <c r="N468">
        <v>497.6</v>
      </c>
      <c r="O468">
        <v>1299.5999999999999</v>
      </c>
      <c r="P468">
        <v>4.9800000000000004</v>
      </c>
      <c r="Q468">
        <v>13</v>
      </c>
      <c r="R468" t="s">
        <v>37</v>
      </c>
      <c r="S468" t="s">
        <v>1277</v>
      </c>
      <c r="T468" s="1">
        <v>43397.621562499997</v>
      </c>
      <c r="U468">
        <v>5</v>
      </c>
      <c r="V468" t="s">
        <v>140</v>
      </c>
      <c r="W468">
        <v>9</v>
      </c>
      <c r="X468" t="s">
        <v>45</v>
      </c>
      <c r="Y468">
        <v>52</v>
      </c>
      <c r="Z468">
        <v>0</v>
      </c>
      <c r="AA468" t="s">
        <v>46</v>
      </c>
      <c r="AB468">
        <v>0</v>
      </c>
      <c r="AC468" t="s">
        <v>43</v>
      </c>
      <c r="AD468">
        <v>8.02</v>
      </c>
      <c r="AE468">
        <v>14.44</v>
      </c>
      <c r="AF468">
        <v>0</v>
      </c>
      <c r="AG468">
        <v>0</v>
      </c>
      <c r="AH468" t="s">
        <v>1253</v>
      </c>
      <c r="AI468" t="s">
        <v>43</v>
      </c>
    </row>
    <row r="469" spans="1:35" x14ac:dyDescent="0.25">
      <c r="A469">
        <v>825</v>
      </c>
      <c r="B469" t="s">
        <v>1254</v>
      </c>
      <c r="C469" t="s">
        <v>287</v>
      </c>
      <c r="D469">
        <v>12</v>
      </c>
      <c r="E469">
        <v>3974</v>
      </c>
      <c r="F469">
        <v>10</v>
      </c>
      <c r="G469">
        <v>3115</v>
      </c>
      <c r="H469">
        <v>0</v>
      </c>
      <c r="I469">
        <v>0</v>
      </c>
      <c r="J469">
        <v>0</v>
      </c>
      <c r="K469">
        <v>0</v>
      </c>
      <c r="L469">
        <v>0</v>
      </c>
      <c r="M469">
        <v>1</v>
      </c>
      <c r="N469">
        <v>461.6</v>
      </c>
      <c r="O469">
        <v>3576.6</v>
      </c>
      <c r="P469">
        <v>4.62</v>
      </c>
      <c r="Q469">
        <v>35.770000000000003</v>
      </c>
      <c r="R469" t="s">
        <v>37</v>
      </c>
      <c r="S469" t="s">
        <v>1277</v>
      </c>
      <c r="T469" s="1">
        <v>43397.621562499997</v>
      </c>
      <c r="U469">
        <v>5</v>
      </c>
      <c r="V469" t="s">
        <v>140</v>
      </c>
      <c r="W469">
        <v>7</v>
      </c>
      <c r="X469" t="s">
        <v>49</v>
      </c>
      <c r="Y469">
        <v>10</v>
      </c>
      <c r="Z469">
        <v>0</v>
      </c>
      <c r="AA469" t="s">
        <v>50</v>
      </c>
      <c r="AB469">
        <v>0</v>
      </c>
      <c r="AC469" t="s">
        <v>43</v>
      </c>
      <c r="AD469">
        <v>31.15</v>
      </c>
      <c r="AE469">
        <v>39.74</v>
      </c>
      <c r="AF469">
        <v>0</v>
      </c>
      <c r="AG469">
        <v>0</v>
      </c>
      <c r="AH469" t="s">
        <v>1255</v>
      </c>
      <c r="AI469" t="s">
        <v>43</v>
      </c>
    </row>
    <row r="470" spans="1:35" x14ac:dyDescent="0.25">
      <c r="A470">
        <v>826</v>
      </c>
      <c r="B470" t="s">
        <v>1256</v>
      </c>
      <c r="C470" t="s">
        <v>1257</v>
      </c>
      <c r="D470">
        <v>126</v>
      </c>
      <c r="E470">
        <v>3687</v>
      </c>
      <c r="F470">
        <v>7</v>
      </c>
      <c r="G470">
        <v>2511</v>
      </c>
      <c r="H470">
        <v>0</v>
      </c>
      <c r="I470">
        <v>0</v>
      </c>
      <c r="J470">
        <v>0</v>
      </c>
      <c r="K470">
        <v>0</v>
      </c>
      <c r="L470">
        <v>0</v>
      </c>
      <c r="M470">
        <v>1</v>
      </c>
      <c r="N470">
        <v>807.3</v>
      </c>
      <c r="O470">
        <v>3318.3</v>
      </c>
      <c r="P470">
        <v>8.07</v>
      </c>
      <c r="Q470">
        <v>33.18</v>
      </c>
      <c r="R470" t="s">
        <v>37</v>
      </c>
      <c r="S470" t="s">
        <v>1277</v>
      </c>
      <c r="T470" s="1">
        <v>43397.621562499997</v>
      </c>
      <c r="U470">
        <v>2</v>
      </c>
      <c r="V470" t="s">
        <v>47</v>
      </c>
      <c r="W470">
        <v>3</v>
      </c>
      <c r="X470" t="s">
        <v>109</v>
      </c>
      <c r="Y470">
        <v>62</v>
      </c>
      <c r="Z470">
        <v>0</v>
      </c>
      <c r="AA470" t="s">
        <v>1258</v>
      </c>
      <c r="AB470">
        <v>0</v>
      </c>
      <c r="AC470" t="s">
        <v>43</v>
      </c>
      <c r="AD470">
        <v>25.11</v>
      </c>
      <c r="AE470">
        <v>36.869999999999997</v>
      </c>
      <c r="AF470">
        <v>0</v>
      </c>
      <c r="AG470">
        <v>0</v>
      </c>
      <c r="AH470" t="s">
        <v>1259</v>
      </c>
    </row>
    <row r="471" spans="1:35" x14ac:dyDescent="0.25">
      <c r="A471">
        <v>827</v>
      </c>
      <c r="B471" t="s">
        <v>1260</v>
      </c>
      <c r="C471" t="s">
        <v>1261</v>
      </c>
      <c r="D471">
        <v>111</v>
      </c>
      <c r="E471">
        <v>31199</v>
      </c>
      <c r="F471">
        <v>68</v>
      </c>
      <c r="G471">
        <v>31000</v>
      </c>
      <c r="H471">
        <v>0</v>
      </c>
      <c r="I471">
        <v>0</v>
      </c>
      <c r="J471">
        <v>0</v>
      </c>
      <c r="K471">
        <v>0</v>
      </c>
      <c r="L471">
        <v>0</v>
      </c>
      <c r="M471">
        <v>1</v>
      </c>
      <c r="N471">
        <v>-2920.9</v>
      </c>
      <c r="O471">
        <v>28079.1</v>
      </c>
      <c r="P471">
        <v>-29.21</v>
      </c>
      <c r="Q471">
        <v>280.79000000000002</v>
      </c>
      <c r="R471" t="s">
        <v>37</v>
      </c>
      <c r="S471" t="s">
        <v>1277</v>
      </c>
      <c r="T471" s="1">
        <v>43397.621562499997</v>
      </c>
      <c r="U471">
        <v>3</v>
      </c>
      <c r="V471" t="s">
        <v>38</v>
      </c>
      <c r="W471">
        <v>2</v>
      </c>
      <c r="X471" t="s">
        <v>39</v>
      </c>
      <c r="Y471">
        <v>61</v>
      </c>
      <c r="Z471">
        <v>0</v>
      </c>
      <c r="AA471" t="s">
        <v>1262</v>
      </c>
      <c r="AB471">
        <v>0</v>
      </c>
      <c r="AC471" t="s">
        <v>43</v>
      </c>
      <c r="AD471">
        <v>310</v>
      </c>
      <c r="AE471">
        <v>311.99</v>
      </c>
      <c r="AF471">
        <v>0</v>
      </c>
      <c r="AG471">
        <v>0</v>
      </c>
      <c r="AH471" t="s">
        <v>1263</v>
      </c>
    </row>
    <row r="472" spans="1:35" x14ac:dyDescent="0.25">
      <c r="A472">
        <v>828</v>
      </c>
      <c r="B472" t="s">
        <v>1264</v>
      </c>
      <c r="C472" t="s">
        <v>1265</v>
      </c>
      <c r="D472">
        <v>57</v>
      </c>
      <c r="E472">
        <v>189889</v>
      </c>
      <c r="F472">
        <v>21</v>
      </c>
      <c r="G472">
        <v>175000</v>
      </c>
      <c r="H472">
        <v>0</v>
      </c>
      <c r="I472">
        <v>0</v>
      </c>
      <c r="J472">
        <v>0</v>
      </c>
      <c r="K472">
        <v>0</v>
      </c>
      <c r="L472">
        <v>0</v>
      </c>
      <c r="M472">
        <v>1</v>
      </c>
      <c r="N472">
        <v>-4099.8999999999996</v>
      </c>
      <c r="O472">
        <v>170900.1</v>
      </c>
      <c r="P472">
        <v>-41</v>
      </c>
      <c r="Q472">
        <v>1709</v>
      </c>
      <c r="R472" t="s">
        <v>37</v>
      </c>
      <c r="S472" t="s">
        <v>1277</v>
      </c>
      <c r="T472" s="1">
        <v>43397.621562499997</v>
      </c>
      <c r="U472">
        <v>4</v>
      </c>
      <c r="V472" t="s">
        <v>55</v>
      </c>
      <c r="W472">
        <v>2</v>
      </c>
      <c r="X472" t="s">
        <v>39</v>
      </c>
      <c r="Y472">
        <v>26</v>
      </c>
      <c r="Z472">
        <v>0</v>
      </c>
      <c r="AA472" t="s">
        <v>40</v>
      </c>
      <c r="AB472">
        <v>0</v>
      </c>
      <c r="AC472" t="s">
        <v>43</v>
      </c>
      <c r="AD472">
        <v>1750</v>
      </c>
      <c r="AE472">
        <v>1898.89</v>
      </c>
      <c r="AF472">
        <v>0</v>
      </c>
      <c r="AG472">
        <v>0</v>
      </c>
      <c r="AH472" t="s">
        <v>1266</v>
      </c>
    </row>
    <row r="473" spans="1:35" x14ac:dyDescent="0.25">
      <c r="A473">
        <v>829</v>
      </c>
      <c r="B473" t="s">
        <v>1267</v>
      </c>
      <c r="C473" t="s">
        <v>1268</v>
      </c>
      <c r="D473">
        <v>66</v>
      </c>
      <c r="E473">
        <v>194422</v>
      </c>
      <c r="F473">
        <v>31</v>
      </c>
      <c r="G473">
        <v>181150</v>
      </c>
      <c r="H473">
        <v>0</v>
      </c>
      <c r="I473">
        <v>0</v>
      </c>
      <c r="J473">
        <v>0</v>
      </c>
      <c r="K473">
        <v>0</v>
      </c>
      <c r="L473">
        <v>0</v>
      </c>
      <c r="M473">
        <v>1</v>
      </c>
      <c r="N473">
        <v>-6170.2</v>
      </c>
      <c r="O473">
        <v>174979.8</v>
      </c>
      <c r="P473">
        <v>-61.7</v>
      </c>
      <c r="Q473">
        <v>1749.8</v>
      </c>
      <c r="R473" t="s">
        <v>37</v>
      </c>
      <c r="S473" t="s">
        <v>1277</v>
      </c>
      <c r="T473" s="1">
        <v>43397.621562499997</v>
      </c>
      <c r="U473">
        <v>4</v>
      </c>
      <c r="V473" t="s">
        <v>55</v>
      </c>
      <c r="W473">
        <v>2</v>
      </c>
      <c r="X473" t="s">
        <v>39</v>
      </c>
      <c r="Y473">
        <v>46</v>
      </c>
      <c r="Z473">
        <v>0</v>
      </c>
      <c r="AA473" t="s">
        <v>803</v>
      </c>
      <c r="AB473">
        <v>0</v>
      </c>
      <c r="AC473" t="s">
        <v>43</v>
      </c>
      <c r="AD473">
        <v>1811.5</v>
      </c>
      <c r="AE473">
        <v>1944.22</v>
      </c>
      <c r="AF473">
        <v>0</v>
      </c>
      <c r="AG473">
        <v>0</v>
      </c>
      <c r="AH473" t="s">
        <v>1269</v>
      </c>
    </row>
    <row r="474" spans="1:35" x14ac:dyDescent="0.25">
      <c r="A474">
        <v>830</v>
      </c>
      <c r="B474" t="s">
        <v>1270</v>
      </c>
      <c r="C474" t="s">
        <v>1271</v>
      </c>
      <c r="D474">
        <v>68</v>
      </c>
      <c r="E474">
        <v>2064</v>
      </c>
      <c r="F474">
        <v>21</v>
      </c>
      <c r="G474">
        <v>1725</v>
      </c>
      <c r="H474">
        <v>0</v>
      </c>
      <c r="I474">
        <v>0</v>
      </c>
      <c r="J474">
        <v>0</v>
      </c>
      <c r="K474">
        <v>0</v>
      </c>
      <c r="L474">
        <v>0</v>
      </c>
      <c r="M474">
        <v>1</v>
      </c>
      <c r="N474">
        <v>132.6</v>
      </c>
      <c r="O474">
        <v>1857.6</v>
      </c>
      <c r="P474">
        <v>1.33</v>
      </c>
      <c r="Q474">
        <v>18.579999999999998</v>
      </c>
      <c r="R474" t="s">
        <v>37</v>
      </c>
      <c r="S474" t="s">
        <v>1277</v>
      </c>
      <c r="T474" s="1">
        <v>43397.621562499997</v>
      </c>
      <c r="U474">
        <v>2</v>
      </c>
      <c r="V474" t="s">
        <v>47</v>
      </c>
      <c r="W474">
        <v>3</v>
      </c>
      <c r="X474" t="s">
        <v>109</v>
      </c>
      <c r="Y474">
        <v>23</v>
      </c>
      <c r="Z474">
        <v>0</v>
      </c>
      <c r="AA474" t="s">
        <v>327</v>
      </c>
      <c r="AB474">
        <v>0</v>
      </c>
      <c r="AC474" t="s">
        <v>43</v>
      </c>
      <c r="AD474">
        <v>17.25</v>
      </c>
      <c r="AE474">
        <v>20.64</v>
      </c>
      <c r="AF474">
        <v>0</v>
      </c>
      <c r="AG474">
        <v>0</v>
      </c>
      <c r="AH474" t="s">
        <v>1272</v>
      </c>
    </row>
    <row r="475" spans="1:35" x14ac:dyDescent="0.25">
      <c r="A475">
        <v>832</v>
      </c>
      <c r="B475" t="s">
        <v>1278</v>
      </c>
      <c r="C475" t="s">
        <v>43</v>
      </c>
      <c r="D475">
        <v>17</v>
      </c>
      <c r="E475">
        <v>1660</v>
      </c>
      <c r="F475">
        <v>9</v>
      </c>
      <c r="G475">
        <v>1020</v>
      </c>
      <c r="H475">
        <v>0</v>
      </c>
      <c r="I475">
        <v>0</v>
      </c>
      <c r="J475">
        <v>0</v>
      </c>
      <c r="K475">
        <v>0</v>
      </c>
      <c r="L475">
        <v>0</v>
      </c>
      <c r="M475">
        <v>1</v>
      </c>
      <c r="N475">
        <v>474</v>
      </c>
      <c r="O475">
        <v>1494</v>
      </c>
      <c r="P475">
        <v>4.74</v>
      </c>
      <c r="Q475">
        <v>14.94</v>
      </c>
      <c r="R475" t="s">
        <v>37</v>
      </c>
      <c r="S475" t="s">
        <v>1277</v>
      </c>
      <c r="T475" s="1">
        <v>43397.621562499997</v>
      </c>
      <c r="U475">
        <v>1</v>
      </c>
      <c r="V475" t="s">
        <v>44</v>
      </c>
      <c r="W475">
        <v>9</v>
      </c>
      <c r="X475" t="s">
        <v>45</v>
      </c>
      <c r="Y475">
        <v>52</v>
      </c>
      <c r="Z475">
        <v>0</v>
      </c>
      <c r="AA475" t="s">
        <v>46</v>
      </c>
      <c r="AB475">
        <v>0</v>
      </c>
      <c r="AC475" t="s">
        <v>43</v>
      </c>
      <c r="AD475">
        <v>10.199999999999999</v>
      </c>
      <c r="AE475">
        <v>16.600000000000001</v>
      </c>
      <c r="AF475">
        <v>0</v>
      </c>
      <c r="AG475">
        <v>0</v>
      </c>
      <c r="AH475" t="s">
        <v>1279</v>
      </c>
      <c r="AI475" t="s">
        <v>43</v>
      </c>
    </row>
    <row r="476" spans="1:35" x14ac:dyDescent="0.25">
      <c r="A476">
        <v>833</v>
      </c>
      <c r="B476" t="s">
        <v>1280</v>
      </c>
      <c r="C476" t="s">
        <v>43</v>
      </c>
      <c r="D476">
        <v>10</v>
      </c>
      <c r="E476">
        <v>1599</v>
      </c>
      <c r="F476">
        <v>12</v>
      </c>
      <c r="G476">
        <v>1300</v>
      </c>
      <c r="H476">
        <v>0</v>
      </c>
      <c r="I476">
        <v>0</v>
      </c>
      <c r="J476">
        <v>0</v>
      </c>
      <c r="K476">
        <v>0</v>
      </c>
      <c r="L476">
        <v>0</v>
      </c>
      <c r="M476">
        <v>1</v>
      </c>
      <c r="N476">
        <v>139.1</v>
      </c>
      <c r="O476">
        <v>1439.1</v>
      </c>
      <c r="P476">
        <v>1.39</v>
      </c>
      <c r="Q476">
        <v>14.39</v>
      </c>
      <c r="R476" t="s">
        <v>37</v>
      </c>
      <c r="S476" t="s">
        <v>1277</v>
      </c>
      <c r="T476" s="1">
        <v>43397.621562499997</v>
      </c>
      <c r="U476">
        <v>1</v>
      </c>
      <c r="V476" t="s">
        <v>44</v>
      </c>
      <c r="W476">
        <v>9</v>
      </c>
      <c r="X476" t="s">
        <v>45</v>
      </c>
      <c r="Y476">
        <v>52</v>
      </c>
      <c r="Z476">
        <v>0</v>
      </c>
      <c r="AA476" t="s">
        <v>46</v>
      </c>
      <c r="AB476">
        <v>0</v>
      </c>
      <c r="AC476" t="s">
        <v>43</v>
      </c>
      <c r="AD476">
        <v>13</v>
      </c>
      <c r="AE476">
        <v>15.99</v>
      </c>
      <c r="AF476">
        <v>0</v>
      </c>
      <c r="AG476">
        <v>0</v>
      </c>
      <c r="AH476" t="s">
        <v>1281</v>
      </c>
      <c r="AI476" t="s">
        <v>43</v>
      </c>
    </row>
    <row r="477" spans="1:35" x14ac:dyDescent="0.25">
      <c r="A477">
        <v>834</v>
      </c>
      <c r="B477" t="s">
        <v>1282</v>
      </c>
      <c r="C477" t="s">
        <v>43</v>
      </c>
      <c r="D477">
        <v>14</v>
      </c>
      <c r="E477">
        <v>12398</v>
      </c>
      <c r="F477">
        <v>3</v>
      </c>
      <c r="G477">
        <v>10101</v>
      </c>
      <c r="H477">
        <v>0</v>
      </c>
      <c r="I477">
        <v>0</v>
      </c>
      <c r="J477">
        <v>0</v>
      </c>
      <c r="K477">
        <v>0</v>
      </c>
      <c r="L477">
        <v>0</v>
      </c>
      <c r="M477">
        <v>1</v>
      </c>
      <c r="N477">
        <v>1057.2</v>
      </c>
      <c r="O477">
        <v>11158.2</v>
      </c>
      <c r="P477">
        <v>10.57</v>
      </c>
      <c r="Q477">
        <v>111.58</v>
      </c>
      <c r="R477" t="s">
        <v>37</v>
      </c>
      <c r="S477" t="s">
        <v>1277</v>
      </c>
      <c r="T477" s="1">
        <v>43397.621562499997</v>
      </c>
      <c r="U477">
        <v>3</v>
      </c>
      <c r="V477" t="s">
        <v>38</v>
      </c>
      <c r="W477">
        <v>9</v>
      </c>
      <c r="X477" t="s">
        <v>45</v>
      </c>
      <c r="Y477">
        <v>52</v>
      </c>
      <c r="Z477">
        <v>0</v>
      </c>
      <c r="AA477" t="s">
        <v>46</v>
      </c>
      <c r="AB477">
        <v>0</v>
      </c>
      <c r="AC477" t="s">
        <v>43</v>
      </c>
      <c r="AD477">
        <v>101.01</v>
      </c>
      <c r="AE477">
        <v>123.98</v>
      </c>
      <c r="AF477">
        <v>0</v>
      </c>
      <c r="AG477">
        <v>0</v>
      </c>
      <c r="AH477" t="s">
        <v>1283</v>
      </c>
      <c r="AI477" t="s">
        <v>43</v>
      </c>
    </row>
    <row r="478" spans="1:35" x14ac:dyDescent="0.25">
      <c r="A478">
        <v>835</v>
      </c>
      <c r="B478" t="s">
        <v>1284</v>
      </c>
      <c r="C478" t="s">
        <v>43</v>
      </c>
      <c r="D478">
        <v>37</v>
      </c>
      <c r="E478">
        <v>22587</v>
      </c>
      <c r="F478">
        <v>5</v>
      </c>
      <c r="G478">
        <v>12501</v>
      </c>
      <c r="H478">
        <v>0</v>
      </c>
      <c r="I478">
        <v>0</v>
      </c>
      <c r="J478">
        <v>0</v>
      </c>
      <c r="K478">
        <v>0</v>
      </c>
      <c r="L478">
        <v>0</v>
      </c>
      <c r="M478">
        <v>1</v>
      </c>
      <c r="N478">
        <v>7827.3</v>
      </c>
      <c r="O478">
        <v>20328.3</v>
      </c>
      <c r="P478">
        <v>78.27</v>
      </c>
      <c r="Q478">
        <v>203.28</v>
      </c>
      <c r="R478" t="s">
        <v>37</v>
      </c>
      <c r="S478" t="s">
        <v>1277</v>
      </c>
      <c r="T478" s="1">
        <v>43397.621562499997</v>
      </c>
      <c r="U478">
        <v>3</v>
      </c>
      <c r="V478" t="s">
        <v>38</v>
      </c>
      <c r="W478">
        <v>9</v>
      </c>
      <c r="X478" t="s">
        <v>45</v>
      </c>
      <c r="Y478">
        <v>52</v>
      </c>
      <c r="Z478">
        <v>0</v>
      </c>
      <c r="AA478" t="s">
        <v>46</v>
      </c>
      <c r="AB478">
        <v>0</v>
      </c>
      <c r="AC478" t="s">
        <v>43</v>
      </c>
      <c r="AD478">
        <v>125.01</v>
      </c>
      <c r="AE478">
        <v>225.87</v>
      </c>
      <c r="AF478">
        <v>0</v>
      </c>
      <c r="AG478">
        <v>0</v>
      </c>
      <c r="AH478" t="s">
        <v>1285</v>
      </c>
      <c r="AI478" t="s">
        <v>43</v>
      </c>
    </row>
    <row r="479" spans="1:35" x14ac:dyDescent="0.25">
      <c r="A479">
        <v>836</v>
      </c>
      <c r="B479" t="s">
        <v>1286</v>
      </c>
      <c r="C479" t="s">
        <v>43</v>
      </c>
      <c r="D479">
        <v>20</v>
      </c>
      <c r="E479">
        <v>2000</v>
      </c>
      <c r="F479">
        <v>9</v>
      </c>
      <c r="G479">
        <v>1865</v>
      </c>
      <c r="H479">
        <v>0</v>
      </c>
      <c r="I479">
        <v>0</v>
      </c>
      <c r="J479">
        <v>0</v>
      </c>
      <c r="K479">
        <v>0</v>
      </c>
      <c r="L479">
        <v>0</v>
      </c>
      <c r="M479">
        <v>1</v>
      </c>
      <c r="N479">
        <v>-65</v>
      </c>
      <c r="O479">
        <v>1800</v>
      </c>
      <c r="P479">
        <v>-0.65</v>
      </c>
      <c r="Q479">
        <v>18</v>
      </c>
      <c r="R479" t="s">
        <v>37</v>
      </c>
      <c r="S479" t="s">
        <v>1277</v>
      </c>
      <c r="T479" s="1">
        <v>43397.621562499997</v>
      </c>
      <c r="U479">
        <v>2</v>
      </c>
      <c r="V479" t="s">
        <v>47</v>
      </c>
      <c r="W479">
        <v>9</v>
      </c>
      <c r="X479" t="s">
        <v>45</v>
      </c>
      <c r="Y479">
        <v>52</v>
      </c>
      <c r="Z479">
        <v>0</v>
      </c>
      <c r="AA479" t="s">
        <v>46</v>
      </c>
      <c r="AB479">
        <v>0</v>
      </c>
      <c r="AC479" t="s">
        <v>43</v>
      </c>
      <c r="AD479">
        <v>18.649999999999999</v>
      </c>
      <c r="AE479">
        <v>20</v>
      </c>
      <c r="AF479">
        <v>0</v>
      </c>
      <c r="AG479">
        <v>0</v>
      </c>
      <c r="AH479" t="s">
        <v>1287</v>
      </c>
      <c r="AI479" t="s">
        <v>43</v>
      </c>
    </row>
    <row r="480" spans="1:35" x14ac:dyDescent="0.25">
      <c r="A480">
        <v>837</v>
      </c>
      <c r="B480" t="s">
        <v>1288</v>
      </c>
      <c r="C480" t="s">
        <v>43</v>
      </c>
      <c r="D480">
        <v>5</v>
      </c>
      <c r="E480">
        <v>3298</v>
      </c>
      <c r="F480">
        <v>11</v>
      </c>
      <c r="G480">
        <v>2401</v>
      </c>
      <c r="H480">
        <v>0</v>
      </c>
      <c r="I480">
        <v>0</v>
      </c>
      <c r="J480">
        <v>0</v>
      </c>
      <c r="K480">
        <v>0</v>
      </c>
      <c r="L480">
        <v>0</v>
      </c>
      <c r="M480">
        <v>1</v>
      </c>
      <c r="N480">
        <v>567.20000000000005</v>
      </c>
      <c r="O480">
        <v>2968.2</v>
      </c>
      <c r="P480">
        <v>5.67</v>
      </c>
      <c r="Q480">
        <v>29.68</v>
      </c>
      <c r="R480" t="s">
        <v>37</v>
      </c>
      <c r="S480" t="s">
        <v>1277</v>
      </c>
      <c r="T480" s="1">
        <v>43397.621562499997</v>
      </c>
      <c r="U480">
        <v>2</v>
      </c>
      <c r="V480" t="s">
        <v>47</v>
      </c>
      <c r="W480">
        <v>9</v>
      </c>
      <c r="X480" t="s">
        <v>45</v>
      </c>
      <c r="Y480">
        <v>52</v>
      </c>
      <c r="Z480">
        <v>0</v>
      </c>
      <c r="AA480" t="s">
        <v>46</v>
      </c>
      <c r="AB480">
        <v>0</v>
      </c>
      <c r="AC480" t="s">
        <v>43</v>
      </c>
      <c r="AD480">
        <v>24.01</v>
      </c>
      <c r="AE480">
        <v>32.979999999999997</v>
      </c>
      <c r="AF480">
        <v>0</v>
      </c>
      <c r="AG480">
        <v>0</v>
      </c>
      <c r="AH480" t="s">
        <v>1289</v>
      </c>
      <c r="AI480" t="s">
        <v>43</v>
      </c>
    </row>
    <row r="481" spans="1:35" x14ac:dyDescent="0.25">
      <c r="A481">
        <v>839</v>
      </c>
      <c r="B481" t="s">
        <v>1290</v>
      </c>
      <c r="C481" t="s">
        <v>48</v>
      </c>
      <c r="D481">
        <v>12</v>
      </c>
      <c r="E481">
        <v>11000</v>
      </c>
      <c r="F481">
        <v>2</v>
      </c>
      <c r="G481">
        <v>9001</v>
      </c>
      <c r="H481">
        <v>0</v>
      </c>
      <c r="I481">
        <v>0</v>
      </c>
      <c r="J481">
        <v>0</v>
      </c>
      <c r="K481">
        <v>0</v>
      </c>
      <c r="L481">
        <v>0</v>
      </c>
      <c r="M481">
        <v>1</v>
      </c>
      <c r="N481">
        <v>899</v>
      </c>
      <c r="O481">
        <v>9900</v>
      </c>
      <c r="P481">
        <v>8.99</v>
      </c>
      <c r="Q481">
        <v>99</v>
      </c>
      <c r="R481" t="s">
        <v>37</v>
      </c>
      <c r="S481" t="s">
        <v>1277</v>
      </c>
      <c r="T481" s="1">
        <v>43397.621562499997</v>
      </c>
      <c r="U481">
        <v>3</v>
      </c>
      <c r="V481" t="s">
        <v>38</v>
      </c>
      <c r="W481">
        <v>7</v>
      </c>
      <c r="X481" t="s">
        <v>49</v>
      </c>
      <c r="Y481">
        <v>10</v>
      </c>
      <c r="Z481">
        <v>0</v>
      </c>
      <c r="AA481" t="s">
        <v>50</v>
      </c>
      <c r="AB481">
        <v>0</v>
      </c>
      <c r="AC481" t="s">
        <v>43</v>
      </c>
      <c r="AD481">
        <v>90.01</v>
      </c>
      <c r="AE481">
        <v>110</v>
      </c>
      <c r="AF481">
        <v>0</v>
      </c>
      <c r="AG481">
        <v>0</v>
      </c>
      <c r="AH481" t="s">
        <v>1291</v>
      </c>
      <c r="AI481" t="s">
        <v>43</v>
      </c>
    </row>
    <row r="482" spans="1:35" x14ac:dyDescent="0.25">
      <c r="A482">
        <v>840</v>
      </c>
      <c r="B482" t="s">
        <v>1292</v>
      </c>
      <c r="C482" t="s">
        <v>43</v>
      </c>
      <c r="D482">
        <v>32</v>
      </c>
      <c r="E482">
        <v>38773</v>
      </c>
      <c r="F482">
        <v>44</v>
      </c>
      <c r="G482">
        <v>36021</v>
      </c>
      <c r="H482">
        <v>0</v>
      </c>
      <c r="I482">
        <v>0</v>
      </c>
      <c r="J482">
        <v>0</v>
      </c>
      <c r="K482">
        <v>0</v>
      </c>
      <c r="L482">
        <v>0</v>
      </c>
      <c r="M482">
        <v>1</v>
      </c>
      <c r="N482">
        <v>-1125.3</v>
      </c>
      <c r="O482">
        <v>34895.699999999997</v>
      </c>
      <c r="P482">
        <v>-11.25</v>
      </c>
      <c r="Q482">
        <v>348.96</v>
      </c>
      <c r="R482" t="s">
        <v>37</v>
      </c>
      <c r="S482" t="s">
        <v>1277</v>
      </c>
      <c r="T482" s="1">
        <v>43397.621562499997</v>
      </c>
      <c r="U482">
        <v>0</v>
      </c>
      <c r="V482" t="s">
        <v>43</v>
      </c>
      <c r="W482">
        <v>0</v>
      </c>
      <c r="X482" t="s">
        <v>43</v>
      </c>
      <c r="Y482">
        <v>0</v>
      </c>
      <c r="Z482">
        <v>0</v>
      </c>
      <c r="AA482" t="s">
        <v>1293</v>
      </c>
      <c r="AB482">
        <v>0</v>
      </c>
      <c r="AC482" t="s">
        <v>43</v>
      </c>
      <c r="AD482">
        <v>360.21</v>
      </c>
      <c r="AE482">
        <v>387.73</v>
      </c>
      <c r="AF482">
        <v>0</v>
      </c>
      <c r="AG482">
        <v>0</v>
      </c>
      <c r="AH482" t="s">
        <v>1294</v>
      </c>
      <c r="AI482" t="s">
        <v>43</v>
      </c>
    </row>
    <row r="483" spans="1:35" x14ac:dyDescent="0.25">
      <c r="A483">
        <v>842</v>
      </c>
      <c r="B483" t="s">
        <v>1295</v>
      </c>
      <c r="C483" t="s">
        <v>43</v>
      </c>
      <c r="D483">
        <v>19</v>
      </c>
      <c r="E483">
        <v>9999</v>
      </c>
      <c r="F483">
        <v>9</v>
      </c>
      <c r="G483">
        <v>7000</v>
      </c>
      <c r="H483">
        <v>0</v>
      </c>
      <c r="I483">
        <v>0</v>
      </c>
      <c r="J483">
        <v>0</v>
      </c>
      <c r="K483">
        <v>0</v>
      </c>
      <c r="L483">
        <v>0</v>
      </c>
      <c r="M483">
        <v>1</v>
      </c>
      <c r="N483">
        <v>1999.1</v>
      </c>
      <c r="O483">
        <v>8999.1</v>
      </c>
      <c r="P483">
        <v>19.989999999999998</v>
      </c>
      <c r="Q483">
        <v>89.99</v>
      </c>
      <c r="R483" t="s">
        <v>37</v>
      </c>
      <c r="S483" t="s">
        <v>1277</v>
      </c>
      <c r="T483" s="1">
        <v>43397.621562499997</v>
      </c>
      <c r="U483">
        <v>0</v>
      </c>
      <c r="V483" t="s">
        <v>43</v>
      </c>
      <c r="W483">
        <v>0</v>
      </c>
      <c r="X483" t="s">
        <v>43</v>
      </c>
      <c r="Y483">
        <v>0</v>
      </c>
      <c r="Z483">
        <v>0</v>
      </c>
      <c r="AA483" t="s">
        <v>1293</v>
      </c>
      <c r="AB483">
        <v>0</v>
      </c>
      <c r="AC483" t="s">
        <v>43</v>
      </c>
      <c r="AD483">
        <v>70</v>
      </c>
      <c r="AE483">
        <v>99.99</v>
      </c>
      <c r="AF483">
        <v>0</v>
      </c>
      <c r="AG483">
        <v>0</v>
      </c>
      <c r="AH483" t="s">
        <v>1296</v>
      </c>
      <c r="AI483" t="s">
        <v>43</v>
      </c>
    </row>
    <row r="484" spans="1:35" x14ac:dyDescent="0.25">
      <c r="A484">
        <v>843</v>
      </c>
      <c r="B484" t="s">
        <v>1297</v>
      </c>
      <c r="C484" t="s">
        <v>43</v>
      </c>
      <c r="D484">
        <v>9</v>
      </c>
      <c r="E484">
        <v>9000</v>
      </c>
      <c r="F484">
        <v>13</v>
      </c>
      <c r="G484">
        <v>7693</v>
      </c>
      <c r="H484">
        <v>0</v>
      </c>
      <c r="I484">
        <v>0</v>
      </c>
      <c r="J484">
        <v>0</v>
      </c>
      <c r="K484">
        <v>0</v>
      </c>
      <c r="L484">
        <v>0</v>
      </c>
      <c r="M484">
        <v>1</v>
      </c>
      <c r="N484">
        <v>407</v>
      </c>
      <c r="O484">
        <v>8100</v>
      </c>
      <c r="P484">
        <v>4.07</v>
      </c>
      <c r="Q484">
        <v>81</v>
      </c>
      <c r="R484" t="s">
        <v>37</v>
      </c>
      <c r="S484" t="s">
        <v>1277</v>
      </c>
      <c r="T484" s="1">
        <v>43397.621562499997</v>
      </c>
      <c r="U484">
        <v>0</v>
      </c>
      <c r="V484" t="s">
        <v>43</v>
      </c>
      <c r="W484">
        <v>0</v>
      </c>
      <c r="X484" t="s">
        <v>43</v>
      </c>
      <c r="Y484">
        <v>0</v>
      </c>
      <c r="Z484">
        <v>0</v>
      </c>
      <c r="AA484" t="s">
        <v>1293</v>
      </c>
      <c r="AB484">
        <v>0</v>
      </c>
      <c r="AC484" t="s">
        <v>43</v>
      </c>
      <c r="AD484">
        <v>76.930000000000007</v>
      </c>
      <c r="AE484">
        <v>90</v>
      </c>
      <c r="AF484">
        <v>0</v>
      </c>
      <c r="AG484">
        <v>0</v>
      </c>
      <c r="AH484" t="s">
        <v>1298</v>
      </c>
      <c r="AI484" t="s">
        <v>43</v>
      </c>
    </row>
    <row r="485" spans="1:35" x14ac:dyDescent="0.25">
      <c r="A485">
        <v>844</v>
      </c>
      <c r="B485" t="s">
        <v>1299</v>
      </c>
      <c r="C485" t="s">
        <v>43</v>
      </c>
      <c r="D485">
        <v>2</v>
      </c>
      <c r="E485">
        <v>14999</v>
      </c>
      <c r="F485">
        <v>5</v>
      </c>
      <c r="G485">
        <v>7521</v>
      </c>
      <c r="H485">
        <v>0</v>
      </c>
      <c r="I485">
        <v>0</v>
      </c>
      <c r="J485">
        <v>0</v>
      </c>
      <c r="K485">
        <v>0</v>
      </c>
      <c r="L485">
        <v>0</v>
      </c>
      <c r="M485">
        <v>1</v>
      </c>
      <c r="N485">
        <v>5978.1</v>
      </c>
      <c r="O485">
        <v>13499.1</v>
      </c>
      <c r="P485">
        <v>59.78</v>
      </c>
      <c r="Q485">
        <v>134.99</v>
      </c>
      <c r="R485" t="s">
        <v>37</v>
      </c>
      <c r="S485" t="s">
        <v>1277</v>
      </c>
      <c r="T485" s="1">
        <v>43397.621562499997</v>
      </c>
      <c r="U485">
        <v>0</v>
      </c>
      <c r="V485" t="s">
        <v>43</v>
      </c>
      <c r="W485">
        <v>0</v>
      </c>
      <c r="X485" t="s">
        <v>43</v>
      </c>
      <c r="Y485">
        <v>0</v>
      </c>
      <c r="Z485">
        <v>0</v>
      </c>
      <c r="AA485" t="s">
        <v>1293</v>
      </c>
      <c r="AB485">
        <v>0</v>
      </c>
      <c r="AC485" t="s">
        <v>43</v>
      </c>
      <c r="AD485">
        <v>75.209999999999994</v>
      </c>
      <c r="AE485">
        <v>149.99</v>
      </c>
      <c r="AF485">
        <v>0</v>
      </c>
      <c r="AG485">
        <v>0</v>
      </c>
      <c r="AH485" t="s">
        <v>1300</v>
      </c>
      <c r="AI485" t="s">
        <v>43</v>
      </c>
    </row>
    <row r="486" spans="1:35" x14ac:dyDescent="0.25">
      <c r="A486">
        <v>845</v>
      </c>
      <c r="B486" t="s">
        <v>1301</v>
      </c>
      <c r="C486" t="s">
        <v>43</v>
      </c>
      <c r="D486">
        <v>14</v>
      </c>
      <c r="E486">
        <v>1600</v>
      </c>
      <c r="F486">
        <v>21</v>
      </c>
      <c r="G486">
        <v>1250</v>
      </c>
      <c r="H486">
        <v>0</v>
      </c>
      <c r="I486">
        <v>0</v>
      </c>
      <c r="J486">
        <v>0</v>
      </c>
      <c r="K486">
        <v>0</v>
      </c>
      <c r="L486">
        <v>0</v>
      </c>
      <c r="M486">
        <v>1</v>
      </c>
      <c r="N486">
        <v>190</v>
      </c>
      <c r="O486">
        <v>1440</v>
      </c>
      <c r="P486">
        <v>1.9</v>
      </c>
      <c r="Q486">
        <v>14.4</v>
      </c>
      <c r="R486" t="s">
        <v>37</v>
      </c>
      <c r="S486" t="s">
        <v>1277</v>
      </c>
      <c r="T486" s="1">
        <v>43397.621562499997</v>
      </c>
      <c r="U486">
        <v>0</v>
      </c>
      <c r="V486" t="s">
        <v>43</v>
      </c>
      <c r="W486">
        <v>0</v>
      </c>
      <c r="X486" t="s">
        <v>43</v>
      </c>
      <c r="Y486">
        <v>0</v>
      </c>
      <c r="Z486">
        <v>0</v>
      </c>
      <c r="AA486" t="s">
        <v>1293</v>
      </c>
      <c r="AB486">
        <v>0</v>
      </c>
      <c r="AC486" t="s">
        <v>43</v>
      </c>
      <c r="AD486">
        <v>12.5</v>
      </c>
      <c r="AE486">
        <v>16</v>
      </c>
      <c r="AF486">
        <v>0</v>
      </c>
      <c r="AG486">
        <v>0</v>
      </c>
      <c r="AH486" t="s">
        <v>1302</v>
      </c>
      <c r="AI486" t="s">
        <v>43</v>
      </c>
    </row>
    <row r="487" spans="1:35" x14ac:dyDescent="0.25">
      <c r="A487">
        <v>846</v>
      </c>
      <c r="B487" t="s">
        <v>1303</v>
      </c>
      <c r="C487" t="s">
        <v>43</v>
      </c>
      <c r="D487">
        <v>30</v>
      </c>
      <c r="E487">
        <v>1660</v>
      </c>
      <c r="F487">
        <v>16</v>
      </c>
      <c r="G487">
        <v>1180</v>
      </c>
      <c r="H487">
        <v>0</v>
      </c>
      <c r="I487">
        <v>0</v>
      </c>
      <c r="J487">
        <v>0</v>
      </c>
      <c r="K487">
        <v>0</v>
      </c>
      <c r="L487">
        <v>0</v>
      </c>
      <c r="M487">
        <v>1</v>
      </c>
      <c r="N487">
        <v>314</v>
      </c>
      <c r="O487">
        <v>1494</v>
      </c>
      <c r="P487">
        <v>3.14</v>
      </c>
      <c r="Q487">
        <v>14.94</v>
      </c>
      <c r="R487" t="s">
        <v>37</v>
      </c>
      <c r="S487" t="s">
        <v>1277</v>
      </c>
      <c r="T487" s="1">
        <v>43397.621562499997</v>
      </c>
      <c r="U487">
        <v>0</v>
      </c>
      <c r="V487" t="s">
        <v>43</v>
      </c>
      <c r="W487">
        <v>0</v>
      </c>
      <c r="X487" t="s">
        <v>43</v>
      </c>
      <c r="Y487">
        <v>0</v>
      </c>
      <c r="Z487">
        <v>0</v>
      </c>
      <c r="AA487" t="s">
        <v>1293</v>
      </c>
      <c r="AB487">
        <v>0</v>
      </c>
      <c r="AC487" t="s">
        <v>43</v>
      </c>
      <c r="AD487">
        <v>11.8</v>
      </c>
      <c r="AE487">
        <v>16.600000000000001</v>
      </c>
      <c r="AF487">
        <v>0</v>
      </c>
      <c r="AG487">
        <v>0</v>
      </c>
      <c r="AH487" t="s">
        <v>1304</v>
      </c>
      <c r="AI487" t="s">
        <v>43</v>
      </c>
    </row>
    <row r="488" spans="1:35" x14ac:dyDescent="0.25">
      <c r="A488">
        <v>848</v>
      </c>
      <c r="B488" t="s">
        <v>1305</v>
      </c>
      <c r="C488" t="s">
        <v>43</v>
      </c>
      <c r="D488">
        <v>19</v>
      </c>
      <c r="E488">
        <v>8500</v>
      </c>
      <c r="F488">
        <v>10</v>
      </c>
      <c r="G488">
        <v>7800</v>
      </c>
      <c r="H488">
        <v>0</v>
      </c>
      <c r="I488">
        <v>0</v>
      </c>
      <c r="J488">
        <v>0</v>
      </c>
      <c r="K488">
        <v>0</v>
      </c>
      <c r="L488">
        <v>0</v>
      </c>
      <c r="M488">
        <v>1</v>
      </c>
      <c r="N488">
        <v>-150</v>
      </c>
      <c r="O488">
        <v>7650</v>
      </c>
      <c r="P488">
        <v>-1.5</v>
      </c>
      <c r="Q488">
        <v>76.5</v>
      </c>
      <c r="R488" t="s">
        <v>37</v>
      </c>
      <c r="S488" t="s">
        <v>1277</v>
      </c>
      <c r="T488" s="1">
        <v>43397.621562499997</v>
      </c>
      <c r="U488">
        <v>0</v>
      </c>
      <c r="V488" t="s">
        <v>43</v>
      </c>
      <c r="W488">
        <v>0</v>
      </c>
      <c r="X488" t="s">
        <v>43</v>
      </c>
      <c r="Y488">
        <v>0</v>
      </c>
      <c r="Z488">
        <v>0</v>
      </c>
      <c r="AA488" t="s">
        <v>1293</v>
      </c>
      <c r="AB488">
        <v>0</v>
      </c>
      <c r="AC488" t="s">
        <v>43</v>
      </c>
      <c r="AD488">
        <v>78</v>
      </c>
      <c r="AE488">
        <v>85</v>
      </c>
      <c r="AF488">
        <v>0</v>
      </c>
      <c r="AG488">
        <v>0</v>
      </c>
      <c r="AH488" t="s">
        <v>1306</v>
      </c>
      <c r="AI488" t="s">
        <v>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CrossoutItemstest</vt:lpstr>
      <vt:lpstr>Resources</vt:lpstr>
      <vt:lpstr>CrossoutDBItems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dc:creator>
  <cp:lastModifiedBy>Jan</cp:lastModifiedBy>
  <dcterms:created xsi:type="dcterms:W3CDTF">2018-10-21T17:19:51Z</dcterms:created>
  <dcterms:modified xsi:type="dcterms:W3CDTF">2018-10-24T14:58:12Z</dcterms:modified>
</cp:coreProperties>
</file>